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French Project" sheetId="1" r:id="rId4"/>
    <sheet name="Indian Project" sheetId="2" r:id="rId5"/>
    <sheet name="Development effort" sheetId="3" r:id="rId6"/>
    <sheet name="Int. Budget On-Off 1" sheetId="4" r:id="rId7"/>
    <sheet name="Int. Budget On-Off 2" sheetId="5" r:id="rId8"/>
    <sheet name="Int. Budget On-Off 3" sheetId="6" r:id="rId9"/>
  </sheets>
  <definedNames>
    <definedName name="_xlnm.Print_Area" localSheetId="2">'Development effort'!$A$1:$H$26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dcassaing</author>
    <author>sjoliveau</author>
  </authors>
  <commentList>
    <comment ref="P4" authorId="0">
      <text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Fill with abacus budget sold to CAAGIS</t>
        </r>
      </text>
    </comment>
    <comment ref="P10" authorId="1">
      <text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To put in positive format</t>
        </r>
      </text>
    </comment>
  </commentList>
</comments>
</file>

<file path=xl/comments2.xml><?xml version="1.0" encoding="utf-8"?>
<comments xmlns="http://schemas.openxmlformats.org/spreadsheetml/2006/main">
  <authors>
    <author>dcassaing</author>
    <author>sjoliveau</author>
  </authors>
  <commentList>
    <comment ref="R6" authorId="0">
      <text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Fill with abacus budget sold to CAAGIS</t>
        </r>
      </text>
    </comment>
    <comment ref="R12" authorId="1">
      <text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To put in positive format</t>
        </r>
      </text>
    </comment>
    <comment ref="R18" authorId="1">
      <text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This field can be used only for changes with workload more than 10PD</t>
        </r>
      </text>
    </comment>
  </commentList>
</comments>
</file>

<file path=xl/comments3.xml><?xml version="1.0" encoding="utf-8"?>
<comments xmlns="http://schemas.openxmlformats.org/spreadsheetml/2006/main">
  <authors>
    <author>CDV</author>
  </authors>
  <commentList>
    <comment ref="A1" authorId="0">
      <text>
        <r>
          <rPr>
            <rFont val="Tahoma"/>
            <b val="true"/>
            <i val="false"/>
            <strike val="false"/>
            <color rgb="FF000000"/>
            <sz val="8"/>
            <u val="none"/>
          </rPr>
          <t xml:space="preserve">QC reference</t>
        </r>
      </text>
    </comment>
  </commentList>
</comments>
</file>

<file path=xl/comments4.xml><?xml version="1.0" encoding="utf-8"?>
<comments xmlns="http://schemas.openxmlformats.org/spreadsheetml/2006/main">
  <authors>
    <author>Daniel</author>
    <author>sjoliveau</author>
  </authors>
  <commentList>
    <comment ref="E6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Daniel: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To put in negative format</t>
        </r>
      </text>
    </comment>
    <comment ref="AM24" authorId="1">
      <text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Overhead is 25%</t>
        </r>
      </text>
    </comment>
    <comment ref="AO24" authorId="1">
      <text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Overhead is 33%</t>
        </r>
      </text>
    </comment>
  </commentList>
</comments>
</file>

<file path=xl/comments5.xml><?xml version="1.0" encoding="utf-8"?>
<comments xmlns="http://schemas.openxmlformats.org/spreadsheetml/2006/main">
  <authors>
    <author>Daniel</author>
    <author>sjoliveau</author>
  </authors>
  <commentList>
    <comment ref="E6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Daniel: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To put in negative format</t>
        </r>
      </text>
    </comment>
    <comment ref="AM24" authorId="1">
      <text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Overhead is 25%</t>
        </r>
      </text>
    </comment>
    <comment ref="AO24" authorId="1">
      <text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Overhead is 33%</t>
        </r>
      </text>
    </comment>
  </commentList>
</comments>
</file>

<file path=xl/comments6.xml><?xml version="1.0" encoding="utf-8"?>
<comments xmlns="http://schemas.openxmlformats.org/spreadsheetml/2006/main">
  <authors>
    <author>Daniel</author>
    <author>sjoliveau</author>
  </authors>
  <commentList>
    <comment ref="E6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Daniel: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To put in negative format</t>
        </r>
      </text>
    </comment>
    <comment ref="AM24" authorId="1">
      <text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Overhead is 25%</t>
        </r>
      </text>
    </comment>
    <comment ref="AO24" authorId="1">
      <text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Overhead is 33%</t>
        </r>
      </text>
    </comment>
  </commentList>
</comments>
</file>

<file path=xl/sharedStrings.xml><?xml version="1.0" encoding="utf-8"?>
<sst xmlns="http://schemas.openxmlformats.org/spreadsheetml/2006/main" uniqueCount="246">
  <si>
    <t>Onshore Budget</t>
  </si>
  <si>
    <t>Offshore Budget</t>
  </si>
  <si>
    <t>Paramètres</t>
  </si>
  <si>
    <t>Phase</t>
  </si>
  <si>
    <t>Level</t>
  </si>
  <si>
    <t>Task code</t>
  </si>
  <si>
    <t>Description</t>
  </si>
  <si>
    <t>Indicative Budget</t>
  </si>
  <si>
    <t>Real Budget</t>
  </si>
  <si>
    <t>Global Budget with PPR</t>
  </si>
  <si>
    <t>Upstream</t>
  </si>
  <si>
    <t>Project</t>
  </si>
  <si>
    <t>Global Budget without PPR</t>
  </si>
  <si>
    <t>Global Budget with PPR (Abacus ; sold to CAAGIS)</t>
  </si>
  <si>
    <t xml:space="preserve">Global Budget without PPR </t>
  </si>
  <si>
    <t>xF105</t>
  </si>
  <si>
    <t>Fr - SFD Acceptance</t>
  </si>
  <si>
    <r>
      <t xml:space="preserve">Pre-integration budget to extract </t>
    </r>
    <r>
      <rPr>
        <rFont val="Arial"/>
        <b val="true"/>
        <i val="false"/>
        <strike val="false"/>
        <color rgb="FF000000"/>
        <sz val="9"/>
        <u val="none"/>
      </rPr>
      <t xml:space="preserve">(negative)</t>
    </r>
  </si>
  <si>
    <t>Global budget after Pre-integration budget</t>
  </si>
  <si>
    <t>xF110</t>
  </si>
  <si>
    <t>Fr - Doing development sheet</t>
  </si>
  <si>
    <t>Fr - Pre-intergration (xnet) - PPR include</t>
  </si>
  <si>
    <t>xF121</t>
  </si>
  <si>
    <t>Fr - SMT Acceptance</t>
  </si>
  <si>
    <t>xF145</t>
  </si>
  <si>
    <t>Fr - Param Acceptance</t>
  </si>
  <si>
    <t>Development</t>
  </si>
  <si>
    <t>Budget for Additional qualification test plan with PPR</t>
  </si>
  <si>
    <t>xF3**</t>
  </si>
  <si>
    <t>Fr - CUT</t>
  </si>
  <si>
    <t>Budget for acceptance testing changes with PPR</t>
  </si>
  <si>
    <t>Qualification</t>
  </si>
  <si>
    <t>xF500</t>
  </si>
  <si>
    <t>Fr - Qualification</t>
  </si>
  <si>
    <t>xF501</t>
  </si>
  <si>
    <t>Fr - Qualification defect fixing</t>
  </si>
  <si>
    <t>Documentation</t>
  </si>
  <si>
    <t>xF160</t>
  </si>
  <si>
    <t>Fr - Documentation</t>
  </si>
  <si>
    <t>Management</t>
  </si>
  <si>
    <t>xF130</t>
  </si>
  <si>
    <t>Fr - Project Leader</t>
  </si>
  <si>
    <t>Pré-intégration</t>
  </si>
  <si>
    <t>xF600</t>
  </si>
  <si>
    <t>Fr - Pre-intergration (xnet)</t>
  </si>
  <si>
    <t>Acceptance testing</t>
  </si>
  <si>
    <t>xF700</t>
  </si>
  <si>
    <t>Fr - Acceptance testing (Analyse)</t>
  </si>
  <si>
    <t>xF701</t>
  </si>
  <si>
    <t>Fr - Acceptance testing (Bug)</t>
  </si>
  <si>
    <t>xF702</t>
  </si>
  <si>
    <t>Fr - Acceptance testing (changes)</t>
  </si>
  <si>
    <t>Transversal</t>
  </si>
  <si>
    <t>Version</t>
  </si>
  <si>
    <t>Global Project Manager</t>
  </si>
  <si>
    <t>Project Manager</t>
  </si>
  <si>
    <t>Test Manager</t>
  </si>
  <si>
    <t>Deployment</t>
  </si>
  <si>
    <t>Technical Support</t>
  </si>
  <si>
    <t>TOTAL</t>
  </si>
  <si>
    <t>Controle Transversal (somme above)</t>
  </si>
  <si>
    <t>TOTAL Onshore + Offshore</t>
  </si>
  <si>
    <t>Contrôle (Internal Bubget)</t>
  </si>
  <si>
    <t>Solded Budget</t>
  </si>
  <si>
    <t>Project Type
1 : Offshore involves from SFDI Acceptance
2 : Offshore involves from Dev Sheet creation
3 : Offshore involves from CUT</t>
  </si>
  <si>
    <t>xF10A</t>
  </si>
  <si>
    <t>Fr - Upstream Assistance</t>
  </si>
  <si>
    <t>xI101</t>
  </si>
  <si>
    <t>In - Project presentation</t>
  </si>
  <si>
    <t>xF10T</t>
  </si>
  <si>
    <t>Fr - Upstream Other Tasks + Transl.</t>
  </si>
  <si>
    <t>xI102</t>
  </si>
  <si>
    <t>In - Acceptance preparation</t>
  </si>
  <si>
    <t>xF10R</t>
  </si>
  <si>
    <t>Fr - Upstream Review</t>
  </si>
  <si>
    <t>xI105</t>
  </si>
  <si>
    <t>In - SFD Acceptance</t>
  </si>
  <si>
    <t>xI106</t>
  </si>
  <si>
    <t>In - SMT Acceptance</t>
  </si>
  <si>
    <t>xI108</t>
  </si>
  <si>
    <t>In - Doing development sheet</t>
  </si>
  <si>
    <t>xF14A</t>
  </si>
  <si>
    <t>Fr - Param Acceptance Assistance</t>
  </si>
  <si>
    <t>xI140</t>
  </si>
  <si>
    <t>in - Param Acceptance</t>
  </si>
  <si>
    <t>xF30A</t>
  </si>
  <si>
    <t>Fr - CUT Assistance</t>
  </si>
  <si>
    <t>xI3**</t>
  </si>
  <si>
    <t>In - CUT</t>
  </si>
  <si>
    <t>xF30T</t>
  </si>
  <si>
    <t>Fr - CUT Other Tasks + Transl.</t>
  </si>
  <si>
    <t>xF30R</t>
  </si>
  <si>
    <t>Fr - CUT review</t>
  </si>
  <si>
    <t>xF50A</t>
  </si>
  <si>
    <t>Fr - Qualification Assistance</t>
  </si>
  <si>
    <t>xI500</t>
  </si>
  <si>
    <t>In - Qualification</t>
  </si>
  <si>
    <t>In - Pre-intergration (xnet) - PPR include</t>
  </si>
  <si>
    <t>xF50T</t>
  </si>
  <si>
    <t>Fr - Qualification Other Tasks + Transl.</t>
  </si>
  <si>
    <t>xI501</t>
  </si>
  <si>
    <t>In - Qualification defect fixing</t>
  </si>
  <si>
    <t>xF50R</t>
  </si>
  <si>
    <t>Fr - Qualification Review</t>
  </si>
  <si>
    <t>xI600</t>
  </si>
  <si>
    <t>In - Pre-intergration (xnet)</t>
  </si>
  <si>
    <t>xF70A</t>
  </si>
  <si>
    <t>Fr - Acceptance testing Assistance</t>
  </si>
  <si>
    <t>xI700</t>
  </si>
  <si>
    <t>In - Acceptance testing (Analyse)</t>
  </si>
  <si>
    <t>xF70R</t>
  </si>
  <si>
    <t>Fr - Acceptance testing Review</t>
  </si>
  <si>
    <t>xI701</t>
  </si>
  <si>
    <t>In - Acceptance testing (Bug)</t>
  </si>
  <si>
    <t>xF70T</t>
  </si>
  <si>
    <t>Fr - Acceptance testing Other Tasks + Transl.</t>
  </si>
  <si>
    <t>xI702</t>
  </si>
  <si>
    <t>In - Acceptance testing (changes)</t>
  </si>
  <si>
    <t>xF71R</t>
  </si>
  <si>
    <t>Fr - Documentation Review</t>
  </si>
  <si>
    <t>xI710</t>
  </si>
  <si>
    <t>In - Documentation</t>
  </si>
  <si>
    <t>xI130</t>
  </si>
  <si>
    <t>In - Project Leader</t>
  </si>
  <si>
    <t>0I002</t>
  </si>
  <si>
    <t>Project Manager Off Team</t>
  </si>
  <si>
    <t>0I003</t>
  </si>
  <si>
    <t>Project Management Effort Off Team</t>
  </si>
  <si>
    <t>Controle Transversal (Internal Bubget)</t>
  </si>
  <si>
    <t>Development Sheet</t>
  </si>
  <si>
    <t>Development sheet description</t>
  </si>
  <si>
    <t>Team
(France/India)</t>
  </si>
  <si>
    <t>Person in charge</t>
  </si>
  <si>
    <t>Development effort (days)</t>
  </si>
  <si>
    <t>CTD</t>
  </si>
  <si>
    <t>Coding
Documentation DOP</t>
  </si>
  <si>
    <t xml:space="preserve">Tests </t>
  </si>
  <si>
    <t xml:space="preserve">Total </t>
  </si>
  <si>
    <t>Remark :</t>
  </si>
  <si>
    <t>A development sheet corresponds to a feature (transaction, function...) and can be attached only to one project. However, if a program is identified in several project, it will be necessary to make a sheet by project and the effort can be optimized they are confided to the same person.</t>
  </si>
  <si>
    <r>
      <t xml:space="preserve">Internal Budget - Onshore / Offshore model </t>
    </r>
    <r>
      <rPr>
        <rFont val="Calibri"/>
        <b val="true"/>
        <i val="false"/>
        <strike val="false"/>
        <color rgb="FFFF0000"/>
        <sz val="20"/>
        <u val="none"/>
      </rPr>
      <t xml:space="preserve">(with acceptance delegation)</t>
    </r>
  </si>
  <si>
    <t>Parameters / settings</t>
  </si>
  <si>
    <t>MD</t>
  </si>
  <si>
    <t>Onshore Ratio</t>
  </si>
  <si>
    <t>Offshore Ratio</t>
  </si>
  <si>
    <t>Fill from French task or Indian task in fonction according to the team which execute Avanet Ingeration ====&gt; see on the right</t>
  </si>
  <si>
    <t>Translation</t>
  </si>
  <si>
    <t>Global budget after Pre-integration budget without PPR</t>
  </si>
  <si>
    <t xml:space="preserve">Maximum forecasted maximum effort Onshore + Offshore </t>
  </si>
  <si>
    <t>Budget in %</t>
  </si>
  <si>
    <t>Budget in PD</t>
  </si>
  <si>
    <t>Activity Description</t>
  </si>
  <si>
    <t>Step</t>
  </si>
  <si>
    <t>% Distribution</t>
  </si>
  <si>
    <t>Indicative budget -% considering CUT as 100%</t>
  </si>
  <si>
    <t>Indicative Rates Onshore on Budget sold</t>
  </si>
  <si>
    <t>%</t>
  </si>
  <si>
    <t>Indicative Rates Offshore  on budget sold</t>
  </si>
  <si>
    <t>Onshore Overhead on Budget sold</t>
  </si>
  <si>
    <t>Offshore  Overhead on Budget sold</t>
  </si>
  <si>
    <t>Onshore budget sold</t>
  </si>
  <si>
    <t>Onshore forecasted maximum effort</t>
  </si>
  <si>
    <t>% considering CUT as 100%</t>
  </si>
  <si>
    <t>Offshore  budget sold</t>
  </si>
  <si>
    <t>Offshore  forecasted maximum effort</t>
  </si>
  <si>
    <t>On+Offshore -% considering CUT as 100%</t>
  </si>
  <si>
    <t>Comment</t>
  </si>
  <si>
    <t>Global task</t>
  </si>
  <si>
    <t>Onshore SSP Activity Tasks</t>
  </si>
  <si>
    <t>Initial Budget</t>
  </si>
  <si>
    <t>Forecasted effort</t>
  </si>
  <si>
    <t>Offshore SSP Activity Tasks</t>
  </si>
  <si>
    <t>Visibility before starting the version:</t>
  </si>
  <si>
    <t>Incl transversal</t>
  </si>
  <si>
    <t>UPSTR</t>
  </si>
  <si>
    <t>SMR acceptance of the version</t>
  </si>
  <si>
    <t>1b</t>
  </si>
  <si>
    <t>Project presentation</t>
  </si>
  <si>
    <t>Offshore  commitment on the project development and Offshore /Onshore preparation on acceptance
Onshore preparation for its expertise to check Offshore  acceptance balance sheet</t>
  </si>
  <si>
    <t>Project SFD Reception (surface checks) and translation prerequisit</t>
  </si>
  <si>
    <t>Pre-acceptance</t>
  </si>
  <si>
    <t>DEV</t>
  </si>
  <si>
    <t>DFS acceptance of the project</t>
  </si>
  <si>
    <t>Technical conception - Project development sheets</t>
  </si>
  <si>
    <t>Q &amp; A</t>
  </si>
  <si>
    <t>Question/Response during the project development - Sopra's Question</t>
  </si>
  <si>
    <t>Question/Response during the project development - Caagis' question</t>
  </si>
  <si>
    <t>QUAL</t>
  </si>
  <si>
    <t>CUT</t>
  </si>
  <si>
    <t>Coding and unit tests of the project</t>
  </si>
  <si>
    <t>SMT non valued</t>
  </si>
  <si>
    <t>Acceptance of unvalued SMTs of project</t>
  </si>
  <si>
    <t>Onshore</t>
  </si>
  <si>
    <t>Offshore</t>
  </si>
  <si>
    <t>Acceptance of unvalued SMTs of the project</t>
  </si>
  <si>
    <t>Parameter</t>
  </si>
  <si>
    <t>Acceptance of the project's functional configuration (parameters)</t>
  </si>
  <si>
    <t>10b</t>
  </si>
  <si>
    <t>ACCEPT</t>
  </si>
  <si>
    <t>SMT valued</t>
  </si>
  <si>
    <t>Acceptance of valued SMTs of project and qualification preparation</t>
  </si>
  <si>
    <t>Qualification Testing</t>
  </si>
  <si>
    <t>Internal qualification of the version batch</t>
  </si>
  <si>
    <t>Delivery</t>
  </si>
  <si>
    <t>Delivery of the material to CAAGIS</t>
  </si>
  <si>
    <t>Incl technical support</t>
  </si>
  <si>
    <t>CAAGIS acceptance test</t>
  </si>
  <si>
    <t>TRANS</t>
  </si>
  <si>
    <t>Voir Transversal au global</t>
  </si>
  <si>
    <t>Project documentation and knowledge transfer towards Maintenance</t>
  </si>
  <si>
    <t>Technical support</t>
  </si>
  <si>
    <t>Test manager</t>
  </si>
  <si>
    <t>In - Operationnal risk  (global version)</t>
  </si>
  <si>
    <t>Fr - Project managment</t>
  </si>
  <si>
    <t>Offshore  Management</t>
  </si>
  <si>
    <t>Operationnal transversal risks</t>
  </si>
  <si>
    <t>Deployement and on-call duty for monitoring production</t>
  </si>
  <si>
    <t>Sub TOTAL</t>
  </si>
  <si>
    <t>Offshore Efficiency</t>
  </si>
  <si>
    <t>Target -&gt;</t>
  </si>
  <si>
    <t>Onshore Efficiency</t>
  </si>
  <si>
    <t>Global Efficiency with vicissitudes</t>
  </si>
  <si>
    <t>PPR</t>
  </si>
  <si>
    <t>Acceptance PPR</t>
  </si>
  <si>
    <t>Global Efficiency with Acceptance PPR</t>
  </si>
  <si>
    <t>Warranty PPR</t>
  </si>
  <si>
    <t>Global Efficiency with Warranty PPR consumed at 50%</t>
  </si>
  <si>
    <t>Overhead %</t>
  </si>
  <si>
    <t>Onshore distribution</t>
  </si>
  <si>
    <t>Offshore  distribution</t>
  </si>
  <si>
    <t>Onshore support (%)</t>
  </si>
  <si>
    <t>Onshore support (Md)</t>
  </si>
  <si>
    <t>Upstream + SMT</t>
  </si>
  <si>
    <t>~1 month</t>
  </si>
  <si>
    <t>CUT + Q&amp;A</t>
  </si>
  <si>
    <t>~2 months</t>
  </si>
  <si>
    <t>Qualification +paramètrage</t>
  </si>
  <si>
    <t>Recette &amp; deployment &amp; documentation</t>
  </si>
  <si>
    <t>~4 months</t>
  </si>
  <si>
    <t>Pilotage</t>
  </si>
  <si>
    <t>~8 months</t>
  </si>
  <si>
    <r>
      <t xml:space="preserve">Internal Budget - Onshore / Offshore model </t>
    </r>
    <r>
      <rPr>
        <rFont val="Calibri"/>
        <b val="true"/>
        <i val="false"/>
        <strike val="false"/>
        <color rgb="FFFF0000"/>
        <sz val="20"/>
        <u val="none"/>
      </rPr>
      <t xml:space="preserve">(From Dev sheet)</t>
    </r>
  </si>
  <si>
    <t>Offshore involvement steps are 6, 8, 12, 14, 15, 16</t>
  </si>
  <si>
    <t>Onshore preparation to permit Offshore task from dev sheet</t>
  </si>
  <si>
    <t>Long term target -&gt;</t>
  </si>
  <si>
    <t>Offshore involvement steps are 8, 12, 14, 15, 16</t>
  </si>
</sst>
</file>

<file path=xl/styles.xml><?xml version="1.0" encoding="utf-8"?>
<styleSheet xmlns="http://schemas.openxmlformats.org/spreadsheetml/2006/main" xml:space="preserve">
  <numFmts count="2">
    <numFmt numFmtId="164" formatCode="0.0%"/>
    <numFmt numFmtId="165" formatCode="0000"/>
  </numFmts>
  <fonts count="2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FF0000"/>
      <name val="Arial"/>
    </font>
    <font>
      <b val="1"/>
      <i val="0"/>
      <strike val="0"/>
      <u val="none"/>
      <sz val="9"/>
      <color rgb="FF0070C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FF0000"/>
      <name val="Arial"/>
    </font>
    <font>
      <b val="0"/>
      <i val="0"/>
      <strike val="0"/>
      <u val="none"/>
      <sz val="11"/>
      <color rgb="FFFF0000"/>
      <name val="Calibri"/>
    </font>
    <font>
      <b val="0"/>
      <i val="1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1"/>
      <strike val="0"/>
      <u val="none"/>
      <sz val="11"/>
      <color rgb="FF000000"/>
      <name val="Calibri"/>
    </font>
    <font>
      <b val="0"/>
      <i val="0"/>
      <strike val="0"/>
      <u val="none"/>
      <sz val="2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70C0"/>
      <name val="Calibri"/>
    </font>
    <font>
      <b val="1"/>
      <i val="0"/>
      <strike val="0"/>
      <u val="none"/>
      <sz val="10"/>
      <color rgb="FF0070C0"/>
      <name val="Calibri"/>
    </font>
    <font>
      <b val="1"/>
      <i val="0"/>
      <strike val="0"/>
      <u val="none"/>
      <sz val="10"/>
      <color rgb="FFFF0000"/>
      <name val="Calibri"/>
    </font>
    <font>
      <b val="1"/>
      <i val="0"/>
      <strike val="0"/>
      <u val="none"/>
      <sz val="11"/>
      <color rgb="FF00B0F0"/>
      <name val="Calibri"/>
    </font>
    <font>
      <b val="0"/>
      <i val="0"/>
      <strike val="0"/>
      <u val="none"/>
      <sz val="18"/>
      <color rgb="FFFF0000"/>
      <name val="Calibri"/>
    </font>
    <font>
      <b val="1"/>
      <i val="0"/>
      <strike val="0"/>
      <u val="none"/>
      <sz val="9"/>
      <color rgb="FFB97034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2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BE5F1"/>
        <bgColor rgb="FFFFFFFF"/>
      </patternFill>
    </fill>
    <fill>
      <patternFill patternType="solid">
        <fgColor rgb="FFFBD4B4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B6DDE8"/>
        <bgColor rgb="FFFFFFFF"/>
      </patternFill>
    </fill>
    <fill>
      <patternFill patternType="solid">
        <fgColor rgb="FFD6D4CA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EAF1DD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C2D69B"/>
        <bgColor rgb="FFFFFFFF"/>
      </patternFill>
    </fill>
    <fill>
      <patternFill patternType="solid">
        <fgColor rgb="FFD99594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FFFF00"/>
        <bgColor rgb="FFFFFFFF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6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2" fillId="3" borderId="1" applyFont="1" applyNumberFormat="1" applyFill="1" applyBorder="1" applyAlignment="1">
      <alignment horizontal="center" vertical="center" textRotation="0" wrapText="true" shrinkToFit="false"/>
    </xf>
    <xf xfId="0" fontId="1" numFmtId="2" fillId="4" borderId="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10" fillId="6" borderId="1" applyFont="1" applyNumberFormat="1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0" numFmtId="10" fillId="2" borderId="0" applyFont="0" applyNumberFormat="1" applyFill="0" applyBorder="0" applyAlignment="1">
      <alignment horizontal="center" vertical="bottom" textRotation="0" wrapText="false" shrinkToFit="false"/>
    </xf>
    <xf xfId="0" fontId="1" numFmtId="10" fillId="7" borderId="1" applyFont="1" applyNumberFormat="1" applyFill="1" applyBorder="1" applyAlignment="1">
      <alignment horizontal="center" vertical="center" textRotation="0" wrapText="false" shrinkToFit="false"/>
    </xf>
    <xf xfId="0" fontId="1" numFmtId="10" fillId="8" borderId="1" applyFont="1" applyNumberFormat="1" applyFill="1" applyBorder="1" applyAlignment="1">
      <alignment horizontal="center" vertical="center" textRotation="0" wrapText="true" shrinkToFit="false"/>
    </xf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2" fillId="3" borderId="5" applyFont="1" applyNumberFormat="1" applyFill="1" applyBorder="1" applyAlignment="1">
      <alignment horizontal="center" vertical="center" textRotation="0" wrapText="true" shrinkToFit="false"/>
    </xf>
    <xf xfId="0" fontId="1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10" fillId="7" borderId="6" applyFont="1" applyNumberFormat="1" applyFill="1" applyBorder="1" applyAlignment="1">
      <alignment horizontal="center" vertical="center" textRotation="0" wrapText="false" shrinkToFit="false"/>
    </xf>
    <xf xfId="0" fontId="1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10" fillId="7" borderId="7" applyFont="1" applyNumberFormat="1" applyFill="1" applyBorder="1" applyAlignment="1">
      <alignment horizontal="center" vertical="center" textRotation="0" wrapText="false" shrinkToFit="false"/>
    </xf>
    <xf xfId="0" fontId="1" numFmtId="10" fillId="7" borderId="5" applyFont="1" applyNumberFormat="1" applyFill="1" applyBorder="1" applyAlignment="1">
      <alignment horizontal="center" vertical="center" textRotation="0" wrapText="false" shrinkToFit="false"/>
    </xf>
    <xf xfId="0" fontId="1" numFmtId="2" fillId="3" borderId="7" applyFont="1" applyNumberFormat="1" applyFill="1" applyBorder="1" applyAlignment="1">
      <alignment horizontal="center" vertical="center" textRotation="0" wrapText="true" shrinkToFit="false"/>
    </xf>
    <xf xfId="0" fontId="1" numFmtId="10" fillId="8" borderId="7" applyFont="1" applyNumberFormat="1" applyFill="1" applyBorder="1" applyAlignment="1">
      <alignment horizontal="center" vertical="center" textRotation="0" wrapText="true" shrinkToFit="false"/>
    </xf>
    <xf xfId="0" fontId="3" numFmtId="49" fillId="8" borderId="8" applyFont="1" applyNumberFormat="1" applyFill="1" applyBorder="1" applyAlignment="1">
      <alignment horizontal="center" vertical="center" textRotation="0" wrapText="false" shrinkToFit="false"/>
    </xf>
    <xf xfId="0" fontId="3" numFmtId="49" fillId="8" borderId="8" applyFont="1" applyNumberFormat="1" applyFill="1" applyBorder="1" applyAlignment="1">
      <alignment horizontal="center" vertical="center" textRotation="0" wrapText="true" shrinkToFit="false"/>
    </xf>
    <xf xfId="0" fontId="1" numFmtId="10" fillId="8" borderId="6" applyFont="1" applyNumberFormat="1" applyFill="1" applyBorder="1" applyAlignment="1">
      <alignment horizontal="center" vertical="center" textRotation="0" wrapText="true" shrinkToFit="false"/>
    </xf>
    <xf xfId="0" fontId="1" numFmtId="2" fillId="3" borderId="6" applyFont="1" applyNumberFormat="1" applyFill="1" applyBorder="1" applyAlignment="1">
      <alignment horizontal="center" vertical="center" textRotation="0" wrapText="false" shrinkToFit="false"/>
    </xf>
    <xf xfId="0" fontId="3" numFmtId="49" fillId="2" borderId="0" applyFont="1" applyNumberFormat="1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2" fillId="2" borderId="0" applyFont="1" applyNumberFormat="1" applyFill="0" applyBorder="0" applyAlignment="1">
      <alignment horizontal="center" vertical="center" textRotation="0" wrapText="false" shrinkToFit="false"/>
    </xf>
    <xf xfId="0" fontId="1" numFmtId="10" fillId="2" borderId="0" applyFont="1" applyNumberFormat="1" applyFill="0" applyBorder="0" applyAlignment="1">
      <alignment horizontal="center" vertical="center" textRotation="0" wrapText="false" shrinkToFit="false"/>
    </xf>
    <xf xfId="0" fontId="1" numFmtId="10" fillId="2" borderId="0" applyFont="1" applyNumberFormat="1" applyFill="0" applyBorder="0" applyAlignment="1">
      <alignment horizontal="center" vertical="center" textRotation="0" wrapText="true" shrinkToFit="false"/>
    </xf>
    <xf xfId="0" fontId="1" numFmtId="2" fillId="2" borderId="5" applyFont="1" applyNumberFormat="1" applyFill="0" applyBorder="1" applyAlignment="1">
      <alignment horizontal="center" vertical="center" textRotation="0" wrapText="false" shrinkToFit="false"/>
    </xf>
    <xf xfId="0" fontId="1" numFmtId="2" fillId="2" borderId="9" applyFont="1" applyNumberFormat="1" applyFill="0" applyBorder="1" applyAlignment="1">
      <alignment horizontal="center" vertical="center" textRotation="0" wrapText="false" shrinkToFit="false"/>
    </xf>
    <xf xfId="0" fontId="1" numFmtId="2" fillId="2" borderId="10" applyFont="1" applyNumberFormat="1" applyFill="0" applyBorder="1" applyAlignment="1">
      <alignment horizontal="center" vertical="center" textRotation="0" wrapText="false" shrinkToFit="false"/>
    </xf>
    <xf xfId="0" fontId="1" numFmtId="10" fillId="6" borderId="6" applyFont="1" applyNumberFormat="1" applyFill="1" applyBorder="1" applyAlignment="1">
      <alignment horizontal="center" vertical="center" textRotation="0" wrapText="false" shrinkToFit="false"/>
    </xf>
    <xf xfId="0" fontId="1" numFmtId="10" fillId="6" borderId="7" applyFont="1" applyNumberFormat="1" applyFill="1" applyBorder="1" applyAlignment="1">
      <alignment horizontal="center" vertical="center" textRotation="0" wrapText="true" shrinkToFit="false"/>
    </xf>
    <xf xfId="0" fontId="1" numFmtId="0" fillId="3" borderId="5" applyFont="1" applyNumberFormat="0" applyFill="1" applyBorder="1" applyAlignment="1">
      <alignment horizontal="general" vertical="center" textRotation="0" wrapText="true" shrinkToFit="false"/>
    </xf>
    <xf xfId="0" fontId="1" numFmtId="0" fillId="3" borderId="6" applyFont="1" applyNumberFormat="0" applyFill="1" applyBorder="1" applyAlignment="1">
      <alignment horizontal="general" vertical="center" textRotation="0" wrapText="true" shrinkToFit="false"/>
    </xf>
    <xf xfId="0" fontId="1" numFmtId="0" fillId="3" borderId="7" applyFont="1" applyNumberFormat="0" applyFill="1" applyBorder="1" applyAlignment="1">
      <alignment horizontal="general" vertical="center" textRotation="0" wrapText="true" shrinkToFit="false"/>
    </xf>
    <xf xfId="0" fontId="1" numFmtId="10" fillId="3" borderId="5" applyFont="1" applyNumberFormat="1" applyFill="1" applyBorder="1" applyAlignment="1">
      <alignment horizontal="center" vertical="center" textRotation="0" wrapText="true" shrinkToFit="false"/>
    </xf>
    <xf xfId="0" fontId="1" numFmtId="10" fillId="3" borderId="1" applyFont="1" applyNumberFormat="1" applyFill="1" applyBorder="1" applyAlignment="1">
      <alignment horizontal="center" vertical="center" textRotation="0" wrapText="true" shrinkToFit="false"/>
    </xf>
    <xf xfId="0" fontId="1" numFmtId="10" fillId="3" borderId="7" applyFont="1" applyNumberFormat="1" applyFill="1" applyBorder="1" applyAlignment="1">
      <alignment horizontal="center" vertical="center" textRotation="0" wrapText="true" shrinkToFit="false"/>
    </xf>
    <xf xfId="0" fontId="1" numFmtId="2" fillId="6" borderId="1" applyFont="1" applyNumberFormat="1" applyFill="1" applyBorder="1" applyAlignment="1">
      <alignment horizontal="center" vertical="center" textRotation="0" wrapText="false" shrinkToFit="false"/>
    </xf>
    <xf xfId="0" fontId="1" numFmtId="2" fillId="7" borderId="1" applyFont="1" applyNumberFormat="1" applyFill="1" applyBorder="1" applyAlignment="1">
      <alignment horizontal="center" vertical="center" textRotation="0" wrapText="false" shrinkToFit="false"/>
    </xf>
    <xf xfId="0" fontId="1" numFmtId="2" fillId="8" borderId="1" applyFont="1" applyNumberFormat="1" applyFill="1" applyBorder="1" applyAlignment="1">
      <alignment horizontal="center" vertical="center" textRotation="0" wrapText="false" shrinkToFit="false"/>
    </xf>
    <xf xfId="0" fontId="1" numFmtId="10" fillId="6" borderId="1" applyFont="1" applyNumberFormat="1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1" applyFont="1" applyNumberFormat="0" applyFill="0" applyBorder="1" applyAlignment="1">
      <alignment horizontal="center" vertical="center" textRotation="0" wrapText="false" shrinkToFit="false"/>
    </xf>
    <xf xfId="0" fontId="3" numFmtId="49" fillId="9" borderId="8" applyFont="1" applyNumberFormat="1" applyFill="1" applyBorder="1" applyAlignment="1">
      <alignment horizontal="center" vertical="center" textRotation="0" wrapText="false" shrinkToFit="false"/>
    </xf>
    <xf xfId="0" fontId="3" numFmtId="0" fillId="9" borderId="7" applyFont="1" applyNumberFormat="0" applyFill="1" applyBorder="1" applyAlignment="1">
      <alignment horizontal="center" vertical="center" textRotation="0" wrapText="true" shrinkToFit="false"/>
    </xf>
    <xf xfId="0" fontId="3" numFmtId="0" fillId="7" borderId="7" applyFont="1" applyNumberFormat="0" applyFill="1" applyBorder="1" applyAlignment="1">
      <alignment horizontal="center" vertical="center" textRotation="0" wrapText="true" shrinkToFit="false"/>
    </xf>
    <xf xfId="0" fontId="3" numFmtId="0" fillId="8" borderId="7" applyFont="1" applyNumberFormat="0" applyFill="1" applyBorder="1" applyAlignment="1">
      <alignment horizontal="center" vertical="center" textRotation="0" wrapText="true" shrinkToFit="false"/>
    </xf>
    <xf xfId="0" fontId="1" numFmtId="2" fillId="6" borderId="5" applyFont="1" applyNumberFormat="1" applyFill="1" applyBorder="1" applyAlignment="1">
      <alignment horizontal="center" vertical="center" textRotation="0" wrapText="false" shrinkToFit="false"/>
    </xf>
    <xf xfId="0" fontId="1" numFmtId="10" fillId="3" borderId="6" applyFont="1" applyNumberFormat="1" applyFill="1" applyBorder="1" applyAlignment="1">
      <alignment horizontal="center" vertical="center" textRotation="0" wrapText="true" shrinkToFit="false"/>
    </xf>
    <xf xfId="0" fontId="1" numFmtId="2" fillId="7" borderId="6" applyFont="1" applyNumberFormat="1" applyFill="1" applyBorder="1" applyAlignment="1">
      <alignment horizontal="center" vertical="center" textRotation="0" wrapText="false" shrinkToFit="false"/>
    </xf>
    <xf xfId="0" fontId="1" numFmtId="2" fillId="8" borderId="6" applyFont="1" applyNumberFormat="1" applyFill="1" applyBorder="1" applyAlignment="1">
      <alignment horizontal="center" vertical="center" textRotation="0" wrapText="false" shrinkToFit="false"/>
    </xf>
    <xf xfId="0" fontId="1" numFmtId="2" fillId="7" borderId="5" applyFont="1" applyNumberFormat="1" applyFill="1" applyBorder="1" applyAlignment="1">
      <alignment horizontal="center" vertical="center" textRotation="0" wrapText="false" shrinkToFit="false"/>
    </xf>
    <xf xfId="0" fontId="1" numFmtId="2" fillId="8" borderId="5" applyFont="1" applyNumberFormat="1" applyFill="1" applyBorder="1" applyAlignment="1">
      <alignment horizontal="center" vertical="center" textRotation="0" wrapText="false" shrinkToFit="false"/>
    </xf>
    <xf xfId="0" fontId="1" numFmtId="2" fillId="7" borderId="7" applyFont="1" applyNumberFormat="1" applyFill="1" applyBorder="1" applyAlignment="1">
      <alignment horizontal="center" vertical="center" textRotation="0" wrapText="false" shrinkToFit="false"/>
    </xf>
    <xf xfId="0" fontId="1" numFmtId="2" fillId="8" borderId="7" applyFont="1" applyNumberFormat="1" applyFill="1" applyBorder="1" applyAlignment="1">
      <alignment horizontal="center" vertical="center" textRotation="0" wrapText="false" shrinkToFit="false"/>
    </xf>
    <xf xfId="0" fontId="1" numFmtId="10" fillId="6" borderId="5" applyFont="1" applyNumberFormat="1" applyFill="1" applyBorder="1" applyAlignment="1">
      <alignment horizontal="center" vertical="center" textRotation="0" wrapText="false" shrinkToFit="false"/>
    </xf>
    <xf xfId="0" fontId="1" numFmtId="2" fillId="6" borderId="7" applyFont="1" applyNumberFormat="1" applyFill="1" applyBorder="1" applyAlignment="1">
      <alignment horizontal="center" vertical="center" textRotation="0" wrapText="false" shrinkToFit="false"/>
    </xf>
    <xf xfId="0" fontId="3" numFmtId="0" fillId="9" borderId="7" applyFont="1" applyNumberFormat="0" applyFill="1" applyBorder="1" applyAlignment="1">
      <alignment horizontal="right" vertical="top" textRotation="0" wrapText="true" shrinkToFit="false"/>
    </xf>
    <xf xfId="0" fontId="3" numFmtId="0" fillId="9" borderId="7" applyFont="1" applyNumberFormat="0" applyFill="1" applyBorder="1" applyAlignment="1">
      <alignment horizontal="center" vertical="top" textRotation="0" wrapText="true" shrinkToFit="false"/>
    </xf>
    <xf xfId="0" fontId="3" numFmtId="10" fillId="9" borderId="7" applyFont="1" applyNumberFormat="1" applyFill="1" applyBorder="1" applyAlignment="1">
      <alignment horizontal="center" vertical="top" textRotation="0" wrapText="true" shrinkToFit="false"/>
    </xf>
    <xf xfId="0" fontId="3" numFmtId="2" fillId="9" borderId="7" applyFont="1" applyNumberFormat="1" applyFill="1" applyBorder="1" applyAlignment="1">
      <alignment horizontal="center" vertical="center" textRotation="0" wrapText="false" shrinkToFit="false"/>
    </xf>
    <xf xfId="0" fontId="3" numFmtId="10" fillId="9" borderId="7" applyFont="1" applyNumberFormat="1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general" vertical="center" textRotation="0" wrapText="true" shrinkToFit="false"/>
    </xf>
    <xf xfId="0" fontId="1" numFmtId="10" fillId="2" borderId="5" applyFont="1" applyNumberFormat="1" applyFill="0" applyBorder="1" applyAlignment="1">
      <alignment horizontal="center" vertical="center" textRotation="0" wrapText="false" shrinkToFit="false"/>
    </xf>
    <xf xfId="0" fontId="1" numFmtId="10" fillId="2" borderId="5" applyFont="1" applyNumberFormat="1" applyFill="0" applyBorder="1" applyAlignment="1">
      <alignment horizontal="center" vertical="center" textRotation="0" wrapText="true" shrinkToFit="false"/>
    </xf>
    <xf xfId="0" fontId="1" numFmtId="10" fillId="2" borderId="6" applyFont="1" applyNumberFormat="1" applyFill="0" applyBorder="1" applyAlignment="1">
      <alignment horizontal="center" vertical="center" textRotation="0" wrapText="false" shrinkToFit="false"/>
    </xf>
    <xf xfId="0" fontId="1" numFmtId="10" fillId="2" borderId="6" applyFont="1" applyNumberFormat="1" applyFill="0" applyBorder="1" applyAlignment="1">
      <alignment horizontal="center" vertical="center" textRotation="0" wrapText="true" shrinkToFit="false"/>
    </xf>
    <xf xfId="0" fontId="1" numFmtId="10" fillId="2" borderId="10" applyFont="1" applyNumberFormat="1" applyFill="0" applyBorder="1" applyAlignment="1">
      <alignment horizontal="center" vertical="center" textRotation="0" wrapText="true" shrinkToFit="false"/>
    </xf>
    <xf xfId="0" fontId="5" numFmtId="10" fillId="9" borderId="12" applyFont="1" applyNumberFormat="1" applyFill="1" applyBorder="1" applyAlignment="1">
      <alignment horizontal="center" vertical="center" textRotation="0" wrapText="false" shrinkToFit="false"/>
    </xf>
    <xf xfId="0" fontId="6" numFmtId="0" fillId="7" borderId="7" applyFont="1" applyNumberFormat="0" applyFill="1" applyBorder="1" applyAlignment="1">
      <alignment horizontal="center" vertical="center" textRotation="0" wrapText="true" shrinkToFit="false"/>
    </xf>
    <xf xfId="0" fontId="7" numFmtId="10" fillId="6" borderId="1" applyFont="1" applyNumberFormat="1" applyFill="1" applyBorder="1" applyAlignment="1">
      <alignment horizontal="center" vertical="center" textRotation="0" wrapText="false" shrinkToFit="false"/>
    </xf>
    <xf xfId="0" fontId="7" numFmtId="164" fillId="7" borderId="1" applyFont="1" applyNumberFormat="1" applyFill="1" applyBorder="1" applyAlignment="1">
      <alignment horizontal="center" vertical="center" textRotation="0" wrapText="false" shrinkToFit="false"/>
    </xf>
    <xf xfId="0" fontId="7" numFmtId="2" fillId="6" borderId="1" applyFont="1" applyNumberFormat="1" applyFill="1" applyBorder="1" applyAlignment="1">
      <alignment horizontal="center" vertical="center" textRotation="0" wrapText="false" shrinkToFit="false"/>
    </xf>
    <xf xfId="0" fontId="7" numFmtId="164" fillId="7" borderId="13" applyFont="1" applyNumberFormat="1" applyFill="1" applyBorder="1" applyAlignment="1">
      <alignment horizontal="center" vertical="center" textRotation="0" wrapText="false" shrinkToFit="false"/>
    </xf>
    <xf xfId="0" fontId="7" numFmtId="164" fillId="7" borderId="6" applyFont="1" applyNumberFormat="1" applyFill="1" applyBorder="1" applyAlignment="1">
      <alignment horizontal="center" vertical="center" textRotation="0" wrapText="false" shrinkToFit="false"/>
    </xf>
    <xf xfId="0" fontId="7" numFmtId="164" fillId="7" borderId="7" applyFont="1" applyNumberFormat="1" applyFill="1" applyBorder="1" applyAlignment="1">
      <alignment horizontal="center" vertical="center" textRotation="0" wrapText="false" shrinkToFit="false"/>
    </xf>
    <xf xfId="0" fontId="6" numFmtId="0" fillId="8" borderId="7" applyFont="1" applyNumberFormat="0" applyFill="1" applyBorder="1" applyAlignment="1">
      <alignment horizontal="center" vertical="center" textRotation="0" wrapText="true" shrinkToFit="false"/>
    </xf>
    <xf xfId="0" fontId="7" numFmtId="164" fillId="8" borderId="1" applyFont="1" applyNumberFormat="1" applyFill="1" applyBorder="1" applyAlignment="1">
      <alignment horizontal="center" vertical="center" textRotation="0" wrapText="false" shrinkToFit="false"/>
    </xf>
    <xf xfId="0" fontId="7" numFmtId="164" fillId="8" borderId="13" applyFont="1" applyNumberFormat="1" applyFill="1" applyBorder="1" applyAlignment="1">
      <alignment horizontal="center" vertical="center" textRotation="0" wrapText="false" shrinkToFit="false"/>
    </xf>
    <xf xfId="0" fontId="7" numFmtId="164" fillId="8" borderId="6" applyFont="1" applyNumberFormat="1" applyFill="1" applyBorder="1" applyAlignment="1">
      <alignment horizontal="center" vertical="center" textRotation="0" wrapText="false" shrinkToFit="false"/>
    </xf>
    <xf xfId="0" fontId="7" numFmtId="164" fillId="8" borderId="7" applyFont="1" applyNumberFormat="1" applyFill="1" applyBorder="1" applyAlignment="1">
      <alignment horizontal="center" vertical="center" textRotation="0" wrapText="false" shrinkToFit="false"/>
    </xf>
    <xf xfId="0" fontId="7" numFmtId="164" fillId="9" borderId="7" applyFont="1" applyNumberFormat="1" applyFill="1" applyBorder="1" applyAlignment="1">
      <alignment horizontal="center" vertical="center" textRotation="0" wrapText="false" shrinkToFit="false"/>
    </xf>
    <xf xfId="0" fontId="7" numFmtId="9" fillId="9" borderId="7" applyFont="1" applyNumberFormat="1" applyFill="1" applyBorder="1" applyAlignment="1">
      <alignment horizontal="center" vertical="center" textRotation="0" wrapText="false" shrinkToFit="false"/>
    </xf>
    <xf xfId="0" fontId="8" numFmtId="10" fillId="9" borderId="6" applyFont="1" applyNumberFormat="1" applyFill="1" applyBorder="1" applyAlignment="1">
      <alignment horizontal="center" vertical="center" textRotation="0" wrapText="false" shrinkToFit="false"/>
    </xf>
    <xf xfId="0" fontId="0" numFmtId="9" fillId="2" borderId="0" applyFont="0" applyNumberFormat="1" applyFill="0" applyBorder="0" applyAlignment="0">
      <alignment horizontal="general" vertical="bottom" textRotation="0" wrapText="false" shrinkToFit="false"/>
    </xf>
    <xf xfId="0" fontId="1" numFmtId="2" fillId="3" borderId="13" applyFont="1" applyNumberFormat="1" applyFill="1" applyBorder="1" applyAlignment="1">
      <alignment horizontal="center" vertical="center" textRotation="0" wrapText="false" shrinkToFit="false"/>
    </xf>
    <xf xfId="0" fontId="1" numFmtId="10" fillId="6" borderId="5" applyFont="1" applyNumberFormat="1" applyFill="1" applyBorder="1" applyAlignment="1">
      <alignment horizontal="center" vertical="center" textRotation="0" wrapText="false" shrinkToFit="false"/>
    </xf>
    <xf xfId="0" fontId="7" numFmtId="164" fillId="6" borderId="13" applyFont="1" applyNumberFormat="1" applyFill="1" applyBorder="1" applyAlignment="1">
      <alignment horizontal="center" vertical="center" textRotation="0" wrapText="false" shrinkToFit="false"/>
    </xf>
    <xf xfId="0" fontId="1" numFmtId="2" fillId="8" borderId="14" applyFont="1" applyNumberFormat="1" applyFill="1" applyBorder="1" applyAlignment="1">
      <alignment horizontal="center" vertical="center" textRotation="0" wrapText="false" shrinkToFit="false"/>
    </xf>
    <xf xfId="0" fontId="3" numFmtId="9" fillId="5" borderId="15" applyFont="1" applyNumberFormat="1" applyFill="1" applyBorder="1" applyAlignment="1">
      <alignment horizontal="center" vertical="center" textRotation="0" wrapText="false" shrinkToFit="false"/>
    </xf>
    <xf xfId="0" fontId="3" numFmtId="0" fillId="5" borderId="15" applyFont="1" applyNumberFormat="0" applyFill="1" applyBorder="1" applyAlignment="1">
      <alignment horizontal="center" vertical="center" textRotation="0" wrapText="false" shrinkToFit="false"/>
    </xf>
    <xf xfId="0" fontId="1" numFmtId="10" fillId="8" borderId="1" applyFont="1" applyNumberFormat="1" applyFill="1" applyBorder="1" applyAlignment="1">
      <alignment horizontal="center" vertical="center" textRotation="0" wrapText="true" shrinkToFit="false"/>
    </xf>
    <xf xfId="0" fontId="1" numFmtId="2" fillId="7" borderId="13" applyFont="1" applyNumberFormat="1" applyFill="1" applyBorder="1" applyAlignment="1">
      <alignment horizontal="center" vertical="center" textRotation="0" wrapText="false" shrinkToFit="false"/>
    </xf>
    <xf xfId="0" fontId="1" numFmtId="10" fillId="6" borderId="5" applyFont="1" applyNumberFormat="1" applyFill="1" applyBorder="1" applyAlignment="1">
      <alignment horizontal="center" vertical="center" textRotation="0" wrapText="true" shrinkToFit="false"/>
    </xf>
    <xf xfId="0" fontId="1" numFmtId="2" fillId="6" borderId="13" applyFont="1" applyNumberFormat="1" applyFill="1" applyBorder="1" applyAlignment="1">
      <alignment horizontal="center" vertical="center" textRotation="0" wrapText="false" shrinkToFit="false"/>
    </xf>
    <xf xfId="0" fontId="3" numFmtId="10" fillId="9" borderId="16" applyFont="1" applyNumberFormat="1" applyFill="1" applyBorder="1" applyAlignment="1">
      <alignment horizontal="center" vertical="center" textRotation="0" wrapText="false" shrinkToFit="false"/>
    </xf>
    <xf xfId="0" fontId="3" numFmtId="10" fillId="9" borderId="12" applyFont="1" applyNumberFormat="1" applyFill="1" applyBorder="1" applyAlignment="1">
      <alignment horizontal="center" vertical="center" textRotation="0" wrapText="false" shrinkToFit="false"/>
    </xf>
    <xf xfId="0" fontId="3" numFmtId="10" fillId="9" borderId="17" applyFont="1" applyNumberFormat="1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10" fillId="2" borderId="18" applyFont="1" applyNumberFormat="1" applyFill="0" applyBorder="1" applyAlignment="1">
      <alignment horizontal="center" vertical="center" textRotation="0" wrapText="true" shrinkToFit="false"/>
    </xf>
    <xf xfId="0" fontId="3" numFmtId="2" fillId="2" borderId="18" applyFont="1" applyNumberFormat="1" applyFill="0" applyBorder="1" applyAlignment="1">
      <alignment horizontal="center" vertical="center" textRotation="0" wrapText="false" shrinkToFit="false"/>
    </xf>
    <xf xfId="0" fontId="1" numFmtId="9" fillId="3" borderId="5" applyFont="1" applyNumberFormat="1" applyFill="1" applyBorder="1" applyAlignment="1">
      <alignment horizontal="center" vertical="center" textRotation="0" wrapText="true" shrinkToFit="false"/>
    </xf>
    <xf xfId="0" fontId="1" numFmtId="9" fillId="3" borderId="6" applyFont="1" applyNumberFormat="1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10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2" fillId="2" borderId="0" applyFont="0" applyNumberFormat="1" applyFill="0" applyBorder="0" applyAlignment="0">
      <alignment horizontal="general" vertical="bottom" textRotation="0" wrapText="false" shrinkToFit="false"/>
    </xf>
    <xf xfId="0" fontId="9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2" fillId="2" borderId="0" applyFont="0" applyNumberFormat="1" applyFill="0" applyBorder="0" applyAlignment="0">
      <alignment horizontal="general" vertical="bottom" textRotation="0" wrapText="false" shrinkToFit="false"/>
    </xf>
    <xf xfId="0" fontId="7" numFmtId="10" fillId="7" borderId="1" applyFont="1" applyNumberFormat="1" applyFill="1" applyBorder="1" applyAlignment="1">
      <alignment horizontal="center" vertical="center" textRotation="0" wrapText="false" shrinkToFit="false"/>
    </xf>
    <xf xfId="0" fontId="7" numFmtId="10" fillId="7" borderId="6" applyFont="1" applyNumberFormat="1" applyFill="1" applyBorder="1" applyAlignment="1">
      <alignment horizontal="center" vertical="center" textRotation="0" wrapText="false" shrinkToFit="false"/>
    </xf>
    <xf xfId="0" fontId="7" numFmtId="10" fillId="7" borderId="7" applyFont="1" applyNumberFormat="1" applyFill="1" applyBorder="1" applyAlignment="1">
      <alignment horizontal="center" vertical="center" textRotation="0" wrapText="false" shrinkToFit="false"/>
    </xf>
    <xf xfId="0" fontId="7" numFmtId="10" fillId="7" borderId="13" applyFont="1" applyNumberFormat="1" applyFill="1" applyBorder="1" applyAlignment="1">
      <alignment horizontal="center" vertical="center" textRotation="0" wrapText="false" shrinkToFit="false"/>
    </xf>
    <xf xfId="0" fontId="7" numFmtId="10" fillId="9" borderId="7" applyFont="1" applyNumberFormat="1" applyFill="1" applyBorder="1" applyAlignment="1">
      <alignment horizontal="center" vertical="center" textRotation="0" wrapText="false" shrinkToFit="false"/>
    </xf>
    <xf xfId="0" fontId="1" numFmtId="10" fillId="2" borderId="9" applyFont="1" applyNumberFormat="1" applyFill="0" applyBorder="1" applyAlignment="1">
      <alignment horizontal="center" vertical="center" textRotation="0" wrapText="false" shrinkToFit="false"/>
    </xf>
    <xf xfId="0" fontId="1" numFmtId="10" fillId="2" borderId="10" applyFont="1" applyNumberFormat="1" applyFill="0" applyBorder="1" applyAlignment="1">
      <alignment horizontal="center" vertical="center" textRotation="0" wrapText="false" shrinkToFit="false"/>
    </xf>
    <xf xfId="0" fontId="8" numFmtId="10" fillId="9" borderId="1" applyFont="1" applyNumberFormat="1" applyFill="1" applyBorder="1" applyAlignment="1">
      <alignment horizontal="center" vertical="center" textRotation="0" wrapText="false" shrinkToFit="false"/>
    </xf>
    <xf xfId="0" fontId="3" numFmtId="10" fillId="9" borderId="13" applyFont="1" applyNumberFormat="1" applyFill="1" applyBorder="1" applyAlignment="1">
      <alignment horizontal="center" vertical="center" textRotation="0" wrapText="false" shrinkToFit="false"/>
    </xf>
    <xf xfId="0" fontId="7" numFmtId="10" fillId="6" borderId="7" applyFont="1" applyNumberFormat="1" applyFill="1" applyBorder="1" applyAlignment="1">
      <alignment horizontal="center" vertical="center" textRotation="0" wrapText="false" shrinkToFit="false"/>
    </xf>
    <xf xfId="0" fontId="7" numFmtId="10" fillId="6" borderId="6" applyFont="1" applyNumberFormat="1" applyFill="1" applyBorder="1" applyAlignment="1">
      <alignment horizontal="center" vertical="center" textRotation="0" wrapText="false" shrinkToFit="false"/>
    </xf>
    <xf xfId="0" fontId="7" numFmtId="10" fillId="6" borderId="5" applyFont="1" applyNumberFormat="1" applyFill="1" applyBorder="1" applyAlignment="1">
      <alignment horizontal="center" vertical="center" textRotation="0" wrapText="false" shrinkToFit="false"/>
    </xf>
    <xf xfId="0" fontId="7" numFmtId="10" fillId="10" borderId="1" applyFont="1" applyNumberFormat="1" applyFill="1" applyBorder="1" applyAlignment="1">
      <alignment horizontal="center" vertical="center" textRotation="0" wrapText="false" shrinkToFit="false"/>
    </xf>
    <xf xfId="0" fontId="7" numFmtId="164" fillId="10" borderId="1" applyFont="1" applyNumberFormat="1" applyFill="1" applyBorder="1" applyAlignment="1">
      <alignment horizontal="center" vertical="center" textRotation="0" wrapText="false" shrinkToFit="false"/>
    </xf>
    <xf xfId="0" fontId="7" numFmtId="164" fillId="10" borderId="14" applyFont="1" applyNumberFormat="1" applyFill="1" applyBorder="1" applyAlignment="1">
      <alignment horizontal="center" vertical="center" textRotation="0" wrapText="false" shrinkToFit="false"/>
    </xf>
    <xf xfId="0" fontId="7" numFmtId="164" fillId="10" borderId="7" applyFont="1" applyNumberFormat="1" applyFill="1" applyBorder="1" applyAlignment="1">
      <alignment horizontal="center" vertical="center" textRotation="0" wrapText="false" shrinkToFit="false"/>
    </xf>
    <xf xfId="0" fontId="6" numFmtId="164" fillId="10" borderId="7" applyFont="1" applyNumberFormat="1" applyFill="1" applyBorder="1" applyAlignment="1">
      <alignment horizontal="center" vertical="center" textRotation="0" wrapText="false" shrinkToFit="false"/>
    </xf>
    <xf xfId="0" fontId="7" numFmtId="10" fillId="10" borderId="5" applyFont="1" applyNumberFormat="1" applyFill="1" applyBorder="1" applyAlignment="1">
      <alignment horizontal="center" vertical="center" textRotation="0" wrapText="false" shrinkToFit="false"/>
    </xf>
    <xf xfId="0" fontId="7" numFmtId="164" fillId="10" borderId="13" applyFont="1" applyNumberFormat="1" applyFill="1" applyBorder="1" applyAlignment="1">
      <alignment horizontal="center" vertical="center" textRotation="0" wrapText="false" shrinkToFit="false"/>
    </xf>
    <xf xfId="0" fontId="7" numFmtId="10" fillId="10" borderId="7" applyFont="1" applyNumberFormat="1" applyFill="1" applyBorder="1" applyAlignment="1">
      <alignment horizontal="center" vertical="center" textRotation="0" wrapText="false" shrinkToFit="false"/>
    </xf>
    <xf xfId="0" fontId="6" numFmtId="0" fillId="10" borderId="7" applyFont="1" applyNumberFormat="0" applyFill="1" applyBorder="1" applyAlignment="1">
      <alignment horizontal="center" vertical="center" textRotation="0" wrapText="true" shrinkToFit="false"/>
    </xf>
    <xf xfId="0" fontId="1" numFmtId="10" fillId="6" borderId="14" applyFont="1" applyNumberFormat="1" applyFill="1" applyBorder="1" applyAlignment="1">
      <alignment horizontal="center" vertical="center" textRotation="0" wrapText="false" shrinkToFit="false"/>
    </xf>
    <xf xfId="0" fontId="1" numFmtId="10" fillId="6" borderId="7" applyFont="1" applyNumberFormat="1" applyFill="1" applyBorder="1" applyAlignment="1">
      <alignment horizontal="center" vertical="center" textRotation="0" wrapText="false" shrinkToFit="false"/>
    </xf>
    <xf xfId="0" fontId="1" numFmtId="10" fillId="6" borderId="6" applyFont="1" applyNumberFormat="1" applyFill="1" applyBorder="1" applyAlignment="1">
      <alignment horizontal="center" vertical="center" textRotation="0" wrapText="true" shrinkToFit="false"/>
    </xf>
    <xf xfId="0" fontId="3" numFmtId="0" fillId="9" borderId="1" applyFont="1" applyNumberFormat="0" applyFill="1" applyBorder="1" applyAlignment="1">
      <alignment horizontal="center" vertical="center" textRotation="0" wrapText="true" shrinkToFit="false"/>
    </xf>
    <xf xfId="0" fontId="1" numFmtId="2" fillId="3" borderId="6" applyFont="1" applyNumberFormat="1" applyFill="1" applyBorder="1" applyAlignment="1">
      <alignment horizontal="center" vertical="center" textRotation="0" wrapText="true" shrinkToFit="false"/>
    </xf>
    <xf xfId="0" fontId="3" numFmtId="2" fillId="9" borderId="7" applyFont="1" applyNumberFormat="1" applyFill="1" applyBorder="1" applyAlignment="1">
      <alignment horizontal="center" vertical="top" textRotation="0" wrapText="true" shrinkToFit="false"/>
    </xf>
    <xf xfId="0" fontId="1" numFmtId="2" fillId="10" borderId="1" applyFont="1" applyNumberFormat="1" applyFill="1" applyBorder="1" applyAlignment="1">
      <alignment horizontal="center" vertical="center" textRotation="0" wrapText="false" shrinkToFit="false"/>
    </xf>
    <xf xfId="0" fontId="7" numFmtId="164" fillId="10" borderId="6" applyFont="1" applyNumberFormat="1" applyFill="1" applyBorder="1" applyAlignment="1">
      <alignment horizontal="center" vertical="center" textRotation="0" wrapText="false" shrinkToFit="false"/>
    </xf>
    <xf xfId="0" fontId="1" numFmtId="10" fillId="10" borderId="14" applyFont="1" applyNumberFormat="1" applyFill="1" applyBorder="1" applyAlignment="1">
      <alignment horizontal="center" vertical="center" textRotation="0" wrapText="false" shrinkToFit="false"/>
    </xf>
    <xf xfId="0" fontId="7" numFmtId="164" fillId="10" borderId="19" applyFont="1" applyNumberFormat="1" applyFill="1" applyBorder="1" applyAlignment="1">
      <alignment horizontal="center" vertical="center" textRotation="0" wrapText="false" shrinkToFit="false"/>
    </xf>
    <xf xfId="0" fontId="1" numFmtId="2" fillId="10" borderId="5" applyFont="1" applyNumberFormat="1" applyFill="1" applyBorder="1" applyAlignment="1">
      <alignment horizontal="center" vertical="center" textRotation="0" wrapText="false" shrinkToFit="false"/>
    </xf>
    <xf xfId="0" fontId="3" numFmtId="49" fillId="9" borderId="1" applyFont="1" applyNumberFormat="1" applyFill="1" applyBorder="1" applyAlignment="1">
      <alignment horizontal="center" vertical="center" textRotation="0" wrapText="false" shrinkToFit="false"/>
    </xf>
    <xf xfId="0" fontId="1" numFmtId="49" fillId="2" borderId="0" applyFont="1" applyNumberFormat="1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0" applyFont="1" applyNumberFormat="1" applyFill="0" applyBorder="0" applyAlignment="1">
      <alignment horizontal="left" vertical="center" textRotation="0" wrapText="true" shrinkToFit="false"/>
    </xf>
    <xf xfId="0" fontId="3" numFmtId="49" fillId="2" borderId="0" applyFont="1" applyNumberFormat="1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2" fillId="2" borderId="0" applyFont="1" applyNumberFormat="1" applyFill="0" applyBorder="0" applyAlignment="1">
      <alignment horizontal="center" vertical="center" textRotation="0" wrapText="true" shrinkToFit="false"/>
    </xf>
    <xf xfId="0" fontId="3" numFmtId="2" fillId="2" borderId="0" applyFont="1" applyNumberFormat="1" applyFill="0" applyBorder="0" applyAlignment="1">
      <alignment horizontal="center" vertical="center" textRotation="0" wrapText="true" shrinkToFit="false"/>
    </xf>
    <xf xfId="0" fontId="1" numFmtId="0" fillId="7" borderId="1" applyFont="1" applyNumberFormat="0" applyFill="1" applyBorder="1" applyAlignment="1">
      <alignment horizontal="center" vertical="center" textRotation="0" wrapText="true" shrinkToFit="false"/>
    </xf>
    <xf xfId="0" fontId="1" numFmtId="0" fillId="7" borderId="1" applyFont="1" applyNumberFormat="0" applyFill="1" applyBorder="1" applyAlignment="1">
      <alignment horizontal="general" vertical="center" textRotation="0" wrapText="true" shrinkToFit="false"/>
    </xf>
    <xf xfId="0" fontId="1" numFmtId="0" fillId="10" borderId="1" applyFont="1" applyNumberFormat="0" applyFill="1" applyBorder="1" applyAlignment="1">
      <alignment horizontal="center" vertical="center" textRotation="0" wrapText="true" shrinkToFit="false"/>
    </xf>
    <xf xfId="0" fontId="1" numFmtId="0" fillId="10" borderId="1" applyFont="1" applyNumberFormat="0" applyFill="1" applyBorder="1" applyAlignment="1">
      <alignment horizontal="general" vertical="center" textRotation="0" wrapText="true" shrinkToFit="false"/>
    </xf>
    <xf xfId="0" fontId="1" numFmtId="0" fillId="10" borderId="1" applyFont="1" applyNumberFormat="0" applyFill="1" applyBorder="1" applyAlignment="1">
      <alignment horizontal="general" vertical="top" textRotation="0" wrapText="true" shrinkToFit="false"/>
    </xf>
    <xf xfId="0" fontId="1" numFmtId="0" fillId="7" borderId="5" applyFont="1" applyNumberFormat="0" applyFill="1" applyBorder="1" applyAlignment="1">
      <alignment horizontal="center" vertical="center" textRotation="0" wrapText="true" shrinkToFit="false"/>
    </xf>
    <xf xfId="0" fontId="1" numFmtId="0" fillId="7" borderId="5" applyFont="1" applyNumberFormat="0" applyFill="1" applyBorder="1" applyAlignment="1">
      <alignment horizontal="general" vertical="center" textRotation="0" wrapText="true" shrinkToFit="false"/>
    </xf>
    <xf xfId="0" fontId="1" numFmtId="0" fillId="7" borderId="6" applyFont="1" applyNumberFormat="0" applyFill="1" applyBorder="1" applyAlignment="1">
      <alignment horizontal="center" vertical="center" textRotation="0" wrapText="true" shrinkToFit="false"/>
    </xf>
    <xf xfId="0" fontId="1" numFmtId="0" fillId="7" borderId="6" applyFont="1" applyNumberFormat="0" applyFill="1" applyBorder="1" applyAlignment="1">
      <alignment horizontal="general" vertical="center" textRotation="0" wrapText="true" shrinkToFit="false"/>
    </xf>
    <xf xfId="0" fontId="3" numFmtId="49" fillId="10" borderId="8" applyFont="1" applyNumberFormat="1" applyFill="1" applyBorder="1" applyAlignment="1">
      <alignment horizontal="center" vertical="center" textRotation="0" wrapText="false" shrinkToFit="false"/>
    </xf>
    <xf xfId="0" fontId="1" numFmtId="0" fillId="10" borderId="7" applyFont="1" applyNumberFormat="0" applyFill="1" applyBorder="1" applyAlignment="1">
      <alignment horizontal="center" vertical="center" textRotation="0" wrapText="true" shrinkToFit="false"/>
    </xf>
    <xf xfId="0" fontId="1" numFmtId="49" fillId="10" borderId="7" applyFont="1" applyNumberFormat="1" applyFill="1" applyBorder="1" applyAlignment="1">
      <alignment horizontal="center" vertical="center" textRotation="0" wrapText="true" shrinkToFit="false"/>
    </xf>
    <xf xfId="0" fontId="1" numFmtId="49" fillId="10" borderId="7" applyFont="1" applyNumberFormat="1" applyFill="1" applyBorder="1" applyAlignment="1">
      <alignment horizontal="left" vertical="center" textRotation="0" wrapText="true" shrinkToFit="false"/>
    </xf>
    <xf xfId="0" fontId="3" numFmtId="49" fillId="11" borderId="8" applyFont="1" applyNumberFormat="1" applyFill="1" applyBorder="1" applyAlignment="1">
      <alignment horizontal="center" vertical="center" textRotation="0" wrapText="false" shrinkToFit="false"/>
    </xf>
    <xf xfId="0" fontId="1" numFmtId="0" fillId="11" borderId="7" applyFont="1" applyNumberFormat="0" applyFill="1" applyBorder="1" applyAlignment="1">
      <alignment horizontal="center" vertical="center" textRotation="0" wrapText="true" shrinkToFit="false"/>
    </xf>
    <xf xfId="0" fontId="10" numFmtId="0" fillId="2" borderId="0" applyFont="1" applyNumberFormat="0" applyFill="0" applyBorder="0" applyAlignment="1">
      <alignment horizontal="left" vertical="top" textRotation="0" wrapText="false" shrinkToFit="false"/>
    </xf>
    <xf xfId="0" fontId="10" numFmtId="2" fillId="2" borderId="0" applyFont="1" applyNumberFormat="1" applyFill="0" applyBorder="0" applyAlignment="1">
      <alignment horizontal="center" vertical="center" textRotation="0" wrapText="true" shrinkToFit="false"/>
    </xf>
    <xf xfId="0" fontId="10" numFmtId="2" fillId="2" borderId="0" applyFont="1" applyNumberFormat="1" applyFill="0" applyBorder="0" applyAlignment="1">
      <alignment horizontal="center" vertical="center" textRotation="0" wrapText="false" shrinkToFit="false"/>
    </xf>
    <xf xfId="0" fontId="1" numFmtId="2" fillId="7" borderId="20" applyFont="1" applyNumberFormat="1" applyFill="1" applyBorder="1" applyAlignment="1">
      <alignment horizontal="right" vertical="center" textRotation="0" wrapText="true" shrinkToFit="false" indent="2"/>
    </xf>
    <xf xfId="0" fontId="1" numFmtId="0" fillId="10" borderId="7" applyFont="1" applyNumberFormat="0" applyFill="1" applyBorder="1" applyAlignment="1">
      <alignment horizontal="right" vertical="center" textRotation="0" wrapText="true" shrinkToFit="false" indent="2"/>
    </xf>
    <xf xfId="0" fontId="1" numFmtId="2" fillId="7" borderId="9" applyFont="1" applyNumberFormat="1" applyFill="1" applyBorder="1" applyAlignment="1">
      <alignment horizontal="right" vertical="center" textRotation="0" wrapText="true" shrinkToFit="false" indent="2"/>
    </xf>
    <xf xfId="0" fontId="1" numFmtId="2" fillId="7" borderId="17" applyFont="1" applyNumberFormat="1" applyFill="1" applyBorder="1" applyAlignment="1">
      <alignment horizontal="right" vertical="center" textRotation="0" wrapText="true" shrinkToFit="false" indent="2"/>
    </xf>
    <xf xfId="0" fontId="1" numFmtId="2" fillId="10" borderId="1" applyFont="1" applyNumberFormat="1" applyFill="1" applyBorder="1" applyAlignment="1">
      <alignment horizontal="right" vertical="center" textRotation="0" wrapText="true" shrinkToFit="false" indent="2"/>
    </xf>
    <xf xfId="0" fontId="1" numFmtId="2" fillId="11" borderId="21" applyFont="1" applyNumberFormat="1" applyFill="1" applyBorder="1" applyAlignment="1">
      <alignment horizontal="center" vertical="center" textRotation="0" wrapText="true" shrinkToFit="false"/>
    </xf>
    <xf xfId="0" fontId="1" numFmtId="2" fillId="11" borderId="22" applyFont="1" applyNumberFormat="1" applyFill="1" applyBorder="1" applyAlignment="1">
      <alignment horizontal="center" vertical="center" textRotation="0" wrapText="true" shrinkToFit="false"/>
    </xf>
    <xf xfId="0" fontId="1" numFmtId="2" fillId="11" borderId="23" applyFont="1" applyNumberFormat="1" applyFill="1" applyBorder="1" applyAlignment="1">
      <alignment horizontal="center" vertical="center" textRotation="0" wrapText="true" shrinkToFit="false"/>
    </xf>
    <xf xfId="0" fontId="1" numFmtId="0" fillId="10" borderId="24" applyFont="1" applyNumberFormat="0" applyFill="1" applyBorder="1" applyAlignment="1">
      <alignment horizontal="center" vertical="center" textRotation="0" wrapText="true" shrinkToFit="false"/>
    </xf>
    <xf xfId="0" fontId="1" numFmtId="2" fillId="10" borderId="24" applyFont="1" applyNumberFormat="1" applyFill="1" applyBorder="1" applyAlignment="1">
      <alignment horizontal="right" vertical="center" textRotation="0" wrapText="true" shrinkToFit="false" indent="2"/>
    </xf>
    <xf xfId="0" fontId="3" numFmtId="2" fillId="9" borderId="7" applyFont="1" applyNumberFormat="1" applyFill="1" applyBorder="1" applyAlignment="1">
      <alignment horizontal="center" vertical="center" textRotation="0" wrapText="true" shrinkToFit="false"/>
    </xf>
    <xf xfId="0" fontId="3" numFmtId="2" fillId="9" borderId="25" applyFont="1" applyNumberFormat="1" applyFill="1" applyBorder="1" applyAlignment="1">
      <alignment horizontal="center" vertical="center" textRotation="0" wrapText="true" shrinkToFit="false"/>
    </xf>
    <xf xfId="0" fontId="1" numFmtId="0" fillId="10" borderId="5" applyFont="1" applyNumberFormat="0" applyFill="1" applyBorder="1" applyAlignment="1">
      <alignment horizontal="center" vertical="center" textRotation="0" wrapText="true" shrinkToFit="false"/>
    </xf>
    <xf xfId="0" fontId="1" numFmtId="0" fillId="10" borderId="5" applyFont="1" applyNumberFormat="0" applyFill="1" applyBorder="1" applyAlignment="1">
      <alignment horizontal="general" vertical="center" textRotation="0" wrapText="true" shrinkToFit="false"/>
    </xf>
    <xf xfId="0" fontId="1" numFmtId="2" fillId="10" borderId="5" applyFont="1" applyNumberFormat="1" applyFill="1" applyBorder="1" applyAlignment="1">
      <alignment horizontal="right" vertical="center" textRotation="0" wrapText="true" shrinkToFit="false" indent="2"/>
    </xf>
    <xf xfId="0" fontId="1" numFmtId="2" fillId="10" borderId="2" applyFont="1" applyNumberFormat="1" applyFill="1" applyBorder="1" applyAlignment="1">
      <alignment horizontal="right" vertical="center" textRotation="0" wrapText="true" shrinkToFit="false" indent="2"/>
    </xf>
    <xf xfId="0" fontId="1" numFmtId="2" fillId="10" borderId="26" applyFont="1" applyNumberFormat="1" applyFill="1" applyBorder="1" applyAlignment="1">
      <alignment horizontal="right" vertical="center" textRotation="0" wrapText="true" shrinkToFit="false" indent="2"/>
    </xf>
    <xf xfId="0" fontId="1" numFmtId="0" fillId="10" borderId="6" applyFont="1" applyNumberFormat="0" applyFill="1" applyBorder="1" applyAlignment="1">
      <alignment horizontal="center" vertical="center" textRotation="0" wrapText="true" shrinkToFit="false"/>
    </xf>
    <xf xfId="0" fontId="1" numFmtId="0" fillId="10" borderId="6" applyFont="1" applyNumberFormat="0" applyFill="1" applyBorder="1" applyAlignment="1">
      <alignment horizontal="general" vertical="center" textRotation="0" wrapText="true" shrinkToFit="false"/>
    </xf>
    <xf xfId="0" fontId="1" numFmtId="2" fillId="10" borderId="6" applyFont="1" applyNumberFormat="1" applyFill="1" applyBorder="1" applyAlignment="1">
      <alignment horizontal="right" vertical="center" textRotation="0" wrapText="true" shrinkToFit="false" indent="2"/>
    </xf>
    <xf xfId="0" fontId="1" numFmtId="2" fillId="10" borderId="27" applyFont="1" applyNumberFormat="1" applyFill="1" applyBorder="1" applyAlignment="1">
      <alignment horizontal="right" vertical="center" textRotation="0" wrapText="true" shrinkToFit="false" indent="2"/>
    </xf>
    <xf xfId="0" fontId="1" numFmtId="0" fillId="10" borderId="24" applyFont="1" applyNumberFormat="0" applyFill="1" applyBorder="1" applyAlignment="1">
      <alignment horizontal="general" vertical="top" textRotation="0" wrapText="true" shrinkToFit="false"/>
    </xf>
    <xf xfId="0" fontId="1" numFmtId="2" fillId="10" borderId="28" applyFont="1" applyNumberFormat="1" applyFill="1" applyBorder="1" applyAlignment="1">
      <alignment horizontal="right" vertical="center" textRotation="0" wrapText="true" shrinkToFit="false" indent="2"/>
    </xf>
    <xf xfId="0" fontId="10" numFmtId="0" fillId="2" borderId="0" applyFont="1" applyNumberFormat="0" applyFill="0" applyBorder="0" applyAlignment="1">
      <alignment horizontal="left" vertical="center" textRotation="0" wrapText="true" shrinkToFit="false"/>
    </xf>
    <xf xfId="0" fontId="11" numFmtId="0" fillId="2" borderId="0" applyFont="1" applyNumberFormat="0" applyFill="0" applyBorder="0" applyAlignment="1">
      <alignment horizontal="general" vertical="top" textRotation="0" wrapText="true" shrinkToFit="false"/>
    </xf>
    <xf xfId="0" fontId="11" numFmtId="0" fillId="2" borderId="0" applyFont="1" applyNumberFormat="0" applyFill="0" applyBorder="0" applyAlignment="1">
      <alignment horizontal="center" vertical="top" textRotation="0" wrapText="true" shrinkToFit="false"/>
    </xf>
    <xf xfId="0" fontId="12" numFmtId="49" fillId="12" borderId="0" applyFont="1" applyNumberFormat="1" applyFill="1" applyBorder="0" applyAlignment="1">
      <alignment horizontal="left" vertical="top" textRotation="0" wrapText="false" shrinkToFit="false"/>
    </xf>
    <xf xfId="0" fontId="13" numFmtId="0" fillId="2" borderId="0" applyFont="1" applyNumberFormat="0" applyFill="0" applyBorder="0" applyAlignment="1">
      <alignment horizontal="left" vertical="top" textRotation="0" wrapText="true" shrinkToFit="false"/>
    </xf>
    <xf xfId="0" fontId="13" numFmtId="2" fillId="9" borderId="1" applyFont="1" applyNumberFormat="1" applyFill="1" applyBorder="1" applyAlignment="1">
      <alignment horizontal="center" vertical="top" textRotation="0" wrapText="true" shrinkToFit="false"/>
    </xf>
    <xf xfId="0" fontId="13" numFmtId="0" fillId="9" borderId="1" applyFont="1" applyNumberFormat="0" applyFill="1" applyBorder="1" applyAlignment="1">
      <alignment horizontal="center" vertical="top" textRotation="0" wrapText="true" shrinkToFit="false"/>
    </xf>
    <xf xfId="0" fontId="11" numFmtId="2" fillId="2" borderId="1" applyFont="1" applyNumberFormat="1" applyFill="0" applyBorder="1" applyAlignment="1">
      <alignment horizontal="center" vertical="top" textRotation="0" wrapText="true" shrinkToFit="false"/>
    </xf>
    <xf xfId="0" fontId="3" numFmtId="0" fillId="2" borderId="0" applyFont="1" applyNumberFormat="0" applyFill="0" applyBorder="0" applyAlignment="1">
      <alignment horizontal="general" vertical="center" textRotation="0" wrapText="true" shrinkToFit="false"/>
    </xf>
    <xf xfId="0" fontId="3" numFmtId="0" fillId="9" borderId="1" applyFont="1" applyNumberFormat="0" applyFill="1" applyBorder="1" applyAlignment="1">
      <alignment horizontal="center" vertical="center" textRotation="0" wrapText="true" shrinkToFit="false"/>
    </xf>
    <xf xfId="0" fontId="6" numFmtId="0" fillId="9" borderId="1" applyFont="1" applyNumberFormat="0" applyFill="1" applyBorder="1" applyAlignment="1">
      <alignment horizontal="center" vertical="top" textRotation="0" wrapText="true" shrinkToFit="false"/>
    </xf>
    <xf xfId="0" fontId="3" numFmtId="2" fillId="9" borderId="7" applyFont="1" applyNumberFormat="1" applyFill="1" applyBorder="1" applyAlignment="1">
      <alignment horizontal="right" vertical="center" textRotation="0" wrapText="true" shrinkToFit="false"/>
    </xf>
    <xf xfId="0" fontId="3" numFmtId="2" fillId="9" borderId="25" applyFont="1" applyNumberFormat="1" applyFill="1" applyBorder="1" applyAlignment="1">
      <alignment horizontal="right" vertical="center" textRotation="0" wrapText="true" shrinkToFit="false"/>
    </xf>
    <xf xfId="0" fontId="3" numFmtId="49" fillId="2" borderId="0" applyFont="1" applyNumberFormat="1" applyFill="0" applyBorder="0" applyAlignment="1">
      <alignment horizontal="center" vertical="center" textRotation="0" wrapText="true" shrinkToFit="false"/>
    </xf>
    <xf xfId="0" fontId="3" numFmtId="0" fillId="9" borderId="8" applyFont="1" applyNumberFormat="0" applyFill="1" applyBorder="1" applyAlignment="1">
      <alignment horizontal="center" vertical="center" textRotation="0" wrapText="true" shrinkToFit="false"/>
    </xf>
    <xf xfId="0" fontId="3" numFmtId="49" fillId="7" borderId="24" applyFont="1" applyNumberFormat="1" applyFill="1" applyBorder="1" applyAlignment="1">
      <alignment horizontal="center" vertical="center" textRotation="0" wrapText="false" shrinkToFit="false"/>
    </xf>
    <xf xfId="0" fontId="1" numFmtId="0" fillId="10" borderId="20" applyFont="1" applyNumberFormat="0" applyFill="1" applyBorder="1" applyAlignment="1">
      <alignment horizontal="general" vertical="center" textRotation="0" wrapText="false" shrinkToFit="false"/>
    </xf>
    <xf xfId="0" fontId="3" numFmtId="49" fillId="7" borderId="1" applyFont="1" applyNumberFormat="1" applyFill="1" applyBorder="1" applyAlignment="1">
      <alignment horizontal="center" vertical="center" textRotation="0" wrapText="false" shrinkToFit="false"/>
    </xf>
    <xf xfId="0" fontId="3" numFmtId="0" fillId="9" borderId="5" applyFont="1" applyNumberFormat="0" applyFill="1" applyBorder="1" applyAlignment="1">
      <alignment horizontal="center" vertical="center" textRotation="0" wrapText="true" shrinkToFit="false"/>
    </xf>
    <xf xfId="0" fontId="3" numFmtId="0" fillId="9" borderId="2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10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2" fillId="4" borderId="2" applyFont="1" applyNumberFormat="1" applyFill="1" applyBorder="1" applyAlignment="1">
      <alignment horizontal="center" vertical="center" textRotation="0" wrapText="true" shrinkToFit="false"/>
    </xf>
    <xf xfId="0" fontId="3" numFmtId="2" fillId="13" borderId="27" applyFont="1" applyNumberFormat="1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8" borderId="0" applyFont="0" applyNumberFormat="0" applyFill="1" applyBorder="0" applyAlignment="1">
      <alignment horizontal="center" vertical="center" textRotation="0" wrapText="true" shrinkToFit="false"/>
    </xf>
    <xf xfId="0" fontId="0" numFmtId="2" fillId="7" borderId="0" applyFont="0" applyNumberFormat="1" applyFill="1" applyBorder="0" applyAlignment="1">
      <alignment horizontal="center" vertical="center" textRotation="0" wrapText="true" shrinkToFit="false"/>
    </xf>
    <xf xfId="0" fontId="14" numFmtId="0" fillId="2" borderId="11" applyFont="1" applyNumberFormat="0" applyFill="0" applyBorder="1" applyAlignment="1">
      <alignment horizontal="left" vertical="center" textRotation="0" wrapText="true" shrinkToFit="false"/>
    </xf>
    <xf xfId="0" fontId="0" numFmtId="0" fillId="2" borderId="13" applyFont="0" applyNumberFormat="0" applyFill="0" applyBorder="1" applyAlignment="1">
      <alignment horizontal="center" vertical="bottom" textRotation="0" wrapText="false" shrinkToFit="false"/>
    </xf>
    <xf xfId="0" fontId="0" numFmtId="0" fillId="2" borderId="15" applyFont="0" applyNumberFormat="0" applyFill="0" applyBorder="1" applyAlignment="1">
      <alignment horizontal="left" vertical="center" textRotation="0" wrapText="true" shrinkToFit="false"/>
    </xf>
    <xf xfId="0" fontId="0" numFmtId="0" fillId="2" borderId="29" applyFont="0" applyNumberFormat="0" applyFill="0" applyBorder="1" applyAlignment="1">
      <alignment horizontal="left" vertical="center" textRotation="0" wrapText="tru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1" numFmtId="2" fillId="8" borderId="1" applyFont="1" applyNumberFormat="1" applyFill="1" applyBorder="1" applyAlignment="1">
      <alignment horizontal="right" vertical="center" textRotation="0" wrapText="false" shrinkToFit="false" indent="2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2" fillId="5" borderId="1" applyFont="1" applyNumberFormat="1" applyFill="1" applyBorder="1" applyAlignment="1">
      <alignment horizontal="right" vertical="center" textRotation="0" wrapText="false" shrinkToFit="false" indent="2"/>
    </xf>
    <xf xfId="0" fontId="9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11" borderId="30" applyFont="1" applyNumberFormat="0" applyFill="1" applyBorder="1" applyAlignment="0">
      <alignment horizontal="general" vertical="bottom" textRotation="0" wrapText="false" shrinkToFit="false"/>
    </xf>
    <xf xfId="0" fontId="1" numFmtId="0" fillId="11" borderId="30" applyFont="1" applyNumberFormat="0" applyFill="1" applyBorder="1" applyAlignment="1">
      <alignment horizontal="right" vertical="center" textRotation="0" wrapText="false" shrinkToFit="false" indent="2"/>
    </xf>
    <xf xfId="0" fontId="1" numFmtId="0" fillId="11" borderId="31" applyFont="1" applyNumberFormat="0" applyFill="1" applyBorder="1" applyAlignment="1">
      <alignment horizontal="right" vertical="center" textRotation="0" wrapText="false" shrinkToFit="false" indent="2"/>
    </xf>
    <xf xfId="0" fontId="1" numFmtId="0" fillId="11" borderId="0" applyFont="1" applyNumberFormat="0" applyFill="1" applyBorder="0" applyAlignment="0">
      <alignment horizontal="general" vertical="bottom" textRotation="0" wrapText="false" shrinkToFit="false"/>
    </xf>
    <xf xfId="0" fontId="1" numFmtId="0" fillId="11" borderId="0" applyFont="1" applyNumberFormat="0" applyFill="1" applyBorder="0" applyAlignment="1">
      <alignment horizontal="right" vertical="center" textRotation="0" wrapText="false" shrinkToFit="false" indent="2"/>
    </xf>
    <xf xfId="0" fontId="1" numFmtId="0" fillId="11" borderId="32" applyFont="1" applyNumberFormat="0" applyFill="1" applyBorder="1" applyAlignment="1">
      <alignment horizontal="right" vertical="center" textRotation="0" wrapText="false" shrinkToFit="false" indent="2"/>
    </xf>
    <xf xfId="0" fontId="1" numFmtId="0" fillId="11" borderId="33" applyFont="1" applyNumberFormat="0" applyFill="1" applyBorder="1" applyAlignment="0">
      <alignment horizontal="general" vertical="bottom" textRotation="0" wrapText="false" shrinkToFit="false"/>
    </xf>
    <xf xfId="0" fontId="1" numFmtId="0" fillId="11" borderId="33" applyFont="1" applyNumberFormat="0" applyFill="1" applyBorder="1" applyAlignment="1">
      <alignment horizontal="right" vertical="center" textRotation="0" wrapText="false" shrinkToFit="false" indent="2"/>
    </xf>
    <xf xfId="0" fontId="1" numFmtId="0" fillId="11" borderId="34" applyFont="1" applyNumberFormat="0" applyFill="1" applyBorder="1" applyAlignment="1">
      <alignment horizontal="right" vertical="center" textRotation="0" wrapText="false" shrinkToFit="false" indent="2"/>
    </xf>
    <xf xfId="0" fontId="1" numFmtId="0" fillId="14" borderId="26" applyFont="1" applyNumberFormat="0" applyFill="1" applyBorder="1" applyAlignment="1" applyProtection="true">
      <alignment horizontal="right" vertical="center" textRotation="0" wrapText="false" shrinkToFit="false" indent="2"/>
      <protection locked="false"/>
    </xf>
    <xf xfId="0" fontId="1" numFmtId="0" fillId="14" borderId="25" applyFont="1" applyNumberFormat="0" applyFill="1" applyBorder="1" applyAlignment="1" applyProtection="true">
      <alignment horizontal="right" vertical="center" textRotation="0" wrapText="false" shrinkToFit="false" indent="2"/>
      <protection locked="false"/>
    </xf>
    <xf xfId="0" fontId="1" numFmtId="0" fillId="14" borderId="2" applyFont="1" applyNumberFormat="0" applyFill="1" applyBorder="1" applyAlignment="1" applyProtection="true">
      <alignment horizontal="right" vertical="center" textRotation="0" wrapText="false" shrinkToFit="false" indent="2"/>
      <protection locked="false"/>
    </xf>
    <xf xfId="0" fontId="1" numFmtId="0" fillId="14" borderId="27" applyFont="1" applyNumberFormat="0" applyFill="1" applyBorder="1" applyAlignment="1" applyProtection="true">
      <alignment horizontal="right" vertical="center" textRotation="0" wrapText="false" shrinkToFit="false" indent="2"/>
      <protection locked="false"/>
    </xf>
    <xf xfId="0" fontId="3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right" vertical="center" textRotation="0" wrapText="false" shrinkToFit="false" indent="2"/>
    </xf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14" borderId="1" applyFont="1" applyNumberFormat="0" applyFill="1" applyBorder="1" applyAlignment="1" applyProtection="true">
      <alignment horizontal="right" vertical="center" textRotation="0" wrapText="false" shrinkToFit="false" indent="2"/>
      <protection locked="false"/>
    </xf>
    <xf xfId="0" fontId="11" numFmtId="0" fillId="2" borderId="1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11" numFmtId="2" fillId="15" borderId="1" applyFont="1" applyNumberFormat="1" applyFill="1" applyBorder="1" applyAlignment="1" applyProtection="true">
      <alignment horizontal="center" vertical="top" textRotation="0" wrapText="true" shrinkToFit="false"/>
      <protection locked="false"/>
    </xf>
    <xf xfId="0" fontId="1" numFmtId="0" fillId="7" borderId="24" applyFont="1" applyNumberFormat="0" applyFill="1" applyBorder="1" applyAlignment="1">
      <alignment horizontal="center" vertical="center" textRotation="0" wrapText="true" shrinkToFit="false"/>
    </xf>
    <xf xfId="0" fontId="1" numFmtId="0" fillId="7" borderId="24" applyFont="1" applyNumberFormat="0" applyFill="1" applyBorder="1" applyAlignment="1">
      <alignment horizontal="center" vertical="bottom" textRotation="0" wrapText="false" shrinkToFit="false"/>
    </xf>
    <xf xfId="0" fontId="1" numFmtId="0" fillId="7" borderId="24" applyFont="1" applyNumberFormat="0" applyFill="1" applyBorder="1" applyAlignment="0">
      <alignment horizontal="general" vertical="bottom" textRotation="0" wrapText="false" shrinkToFit="false"/>
    </xf>
    <xf xfId="0" fontId="1" numFmtId="2" fillId="7" borderId="24" applyFont="1" applyNumberFormat="1" applyFill="1" applyBorder="1" applyAlignment="1">
      <alignment horizontal="right" vertical="center" textRotation="0" wrapText="false" shrinkToFit="false" indent="2"/>
    </xf>
    <xf xfId="0" fontId="1" numFmtId="0" fillId="14" borderId="24" applyFont="1" applyNumberFormat="0" applyFill="1" applyBorder="1" applyAlignment="1" applyProtection="true">
      <alignment horizontal="right" vertical="center" textRotation="0" wrapText="false" shrinkToFit="false" indent="2"/>
      <protection locked="false"/>
    </xf>
    <xf xfId="0" fontId="1" numFmtId="0" fillId="10" borderId="35" applyFont="1" applyNumberFormat="0" applyFill="1" applyBorder="1" applyAlignment="1">
      <alignment horizontal="left" vertical="center" textRotation="0" wrapText="false" shrinkToFit="false"/>
    </xf>
    <xf xfId="0" fontId="1" numFmtId="0" fillId="5" borderId="35" applyFont="1" applyNumberFormat="0" applyFill="1" applyBorder="1" applyAlignment="1">
      <alignment horizontal="left" vertical="center" textRotation="0" wrapText="false" shrinkToFit="false"/>
    </xf>
    <xf xfId="0" fontId="1" numFmtId="0" fillId="5" borderId="20" applyFont="1" applyNumberFormat="0" applyFill="1" applyBorder="1" applyAlignment="1">
      <alignment horizontal="left" vertical="center" textRotation="0" wrapText="false" shrinkToFit="false"/>
    </xf>
    <xf xfId="0" fontId="8" numFmtId="10" fillId="9" borderId="12" applyFont="1" applyNumberFormat="1" applyFill="1" applyBorder="1" applyAlignment="1">
      <alignment horizontal="center" vertical="center" textRotation="0" wrapText="false" shrinkToFit="false"/>
    </xf>
    <xf xfId="0" fontId="3" numFmtId="10" fillId="9" borderId="5" applyFont="1" applyNumberFormat="1" applyFill="1" applyBorder="1" applyAlignment="1">
      <alignment horizontal="center" vertical="center" textRotation="0" wrapText="false" shrinkToFit="false"/>
    </xf>
    <xf xfId="0" fontId="3" numFmtId="10" fillId="9" borderId="36" applyFont="1" applyNumberFormat="1" applyFill="1" applyBorder="1" applyAlignment="1">
      <alignment horizontal="center" vertical="center" textRotation="0" wrapText="false" shrinkToFit="false"/>
    </xf>
    <xf xfId="0" fontId="15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10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2" fillId="13" borderId="3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2" fillId="16" borderId="2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6" numFmtId="10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5" applyFont="1" applyNumberFormat="0" applyFill="0" applyBorder="1" applyAlignment="1">
      <alignment horizontal="general" vertical="bottom" textRotation="0" wrapText="true" shrinkToFit="false"/>
    </xf>
    <xf xfId="0" fontId="17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bottom" textRotation="0" wrapText="true" shrinkToFit="false"/>
    </xf>
    <xf xfId="0" fontId="18" numFmtId="0" fillId="2" borderId="6" applyFont="1" applyNumberFormat="0" applyFill="0" applyBorder="1" applyAlignment="1">
      <alignment horizontal="general" vertical="bottom" textRotation="0" wrapText="true" shrinkToFit="false"/>
    </xf>
    <xf xfId="0" fontId="19" numFmtId="0" fillId="2" borderId="5" applyFont="1" applyNumberFormat="0" applyFill="0" applyBorder="1" applyAlignment="1">
      <alignment horizontal="general" vertical="bottom" textRotation="0" wrapText="true" shrinkToFit="false"/>
    </xf>
    <xf xfId="0" fontId="16" numFmtId="0" fillId="2" borderId="14" applyFont="1" applyNumberFormat="0" applyFill="0" applyBorder="1" applyAlignment="1">
      <alignment horizontal="general" vertical="bottom" textRotation="0" wrapText="true" shrinkToFit="false"/>
    </xf>
    <xf xfId="0" fontId="8" numFmtId="10" fillId="7" borderId="5" applyFont="1" applyNumberFormat="1" applyFill="1" applyBorder="1" applyAlignment="1">
      <alignment horizontal="center" vertical="center" textRotation="0" wrapText="false" shrinkToFit="false"/>
    </xf>
    <xf xfId="0" fontId="16" numFmtId="0" fillId="2" borderId="7" applyFont="1" applyNumberFormat="0" applyFill="0" applyBorder="1" applyAlignment="1">
      <alignment horizontal="general" vertical="bottom" textRotation="0" wrapText="true" shrinkToFit="false"/>
    </xf>
    <xf xfId="0" fontId="16" numFmtId="0" fillId="2" borderId="6" applyFont="1" applyNumberFormat="0" applyFill="0" applyBorder="1" applyAlignment="1">
      <alignment horizontal="general" vertical="bottom" textRotation="0" wrapText="true" shrinkToFit="false"/>
    </xf>
    <xf xfId="0" fontId="20" numFmtId="10" fillId="2" borderId="0" applyFont="1" applyNumberFormat="1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9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10" fillId="5" borderId="18" applyFont="1" applyNumberFormat="1" applyFill="1" applyBorder="1" applyAlignment="1">
      <alignment horizontal="center" vertical="bottom" textRotation="0" wrapText="false" shrinkToFit="false"/>
    </xf>
    <xf xfId="0" fontId="9" numFmtId="0" fillId="2" borderId="18" applyFont="1" applyNumberFormat="0" applyFill="0" applyBorder="1" applyAlignment="1">
      <alignment horizontal="center" vertical="bottom" textRotation="0" wrapText="false" shrinkToFit="false"/>
    </xf>
    <xf xfId="0" fontId="9" numFmtId="0" fillId="2" borderId="0" applyFont="1" applyNumberFormat="0" applyFill="0" applyBorder="0" applyAlignment="1">
      <alignment horizontal="center" vertical="bottom" textRotation="0" wrapText="false" shrinkToFit="false"/>
    </xf>
    <xf xfId="0" fontId="20" numFmtId="10" fillId="2" borderId="0" applyFont="1" applyNumberFormat="1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0" numFmtId="10" fillId="2" borderId="5" applyFont="1" applyNumberFormat="1" applyFill="0" applyBorder="1" applyAlignment="1">
      <alignment horizontal="center" vertical="bottom" textRotation="0" wrapText="true" shrinkToFit="false"/>
    </xf>
    <xf xfId="0" fontId="20" numFmtId="10" fillId="2" borderId="6" applyFont="1" applyNumberFormat="1" applyFill="0" applyBorder="1" applyAlignment="1">
      <alignment horizontal="center" vertical="bottom" textRotation="0" wrapText="true" shrinkToFit="false"/>
    </xf>
    <xf xfId="0" fontId="20" numFmtId="10" fillId="2" borderId="0" applyFont="1" applyNumberFormat="1" applyFill="0" applyBorder="0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49" fillId="2" borderId="0" applyFont="0" applyNumberFormat="1" applyFill="0" applyBorder="0" applyAlignment="1">
      <alignment horizontal="right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0" fillId="2" borderId="0" applyFont="0" applyNumberFormat="1" applyFill="0" applyBorder="0" applyAlignment="0">
      <alignment horizontal="general" vertical="bottom" textRotation="0" wrapText="false" shrinkToFit="false"/>
    </xf>
    <xf xfId="0" fontId="0" numFmtId="2" fillId="7" borderId="0" applyFont="0" applyNumberFormat="1" applyFill="1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0" fillId="2" borderId="33" applyFont="0" applyNumberFormat="1" applyFill="0" applyBorder="1" applyAlignment="0">
      <alignment horizontal="general" vertical="bottom" textRotation="0" wrapText="false" shrinkToFit="false"/>
    </xf>
    <xf xfId="0" fontId="0" numFmtId="10" fillId="2" borderId="33" applyFont="0" applyNumberFormat="1" applyFill="0" applyBorder="1" applyAlignment="0">
      <alignment horizontal="general" vertical="bottom" textRotation="0" wrapText="false" shrinkToFit="false"/>
    </xf>
    <xf xfId="0" fontId="0" numFmtId="2" fillId="2" borderId="33" applyFont="0" applyNumberFormat="1" applyFill="0" applyBorder="1" applyAlignment="0">
      <alignment horizontal="general" vertical="bottom" textRotation="0" wrapText="false" shrinkToFit="false"/>
    </xf>
    <xf xfId="0" fontId="0" numFmtId="164" fillId="2" borderId="33" applyFont="0" applyNumberFormat="1" applyFill="0" applyBorder="1" applyAlignment="0">
      <alignment horizontal="general" vertical="bottom" textRotation="0" wrapText="false" shrinkToFit="false"/>
    </xf>
    <xf xfId="0" fontId="0" numFmtId="10" fillId="2" borderId="0" applyFont="0" applyNumberFormat="1" applyFill="0" applyBorder="0" applyAlignment="0">
      <alignment horizontal="general" vertical="bottom" textRotation="0" wrapText="false" shrinkToFit="false"/>
    </xf>
    <xf xfId="0" fontId="21" numFmtId="0" fillId="2" borderId="0" applyFont="1" applyNumberFormat="0" applyFill="0" applyBorder="0" applyAlignment="0">
      <alignment horizontal="general" vertical="bottom" textRotation="0" wrapText="false" shrinkToFit="false"/>
    </xf>
    <xf xfId="0" fontId="16" numFmtId="0" fillId="2" borderId="1" applyFont="1" applyNumberFormat="0" applyFill="0" applyBorder="1" applyAlignment="1">
      <alignment horizontal="general" vertical="bottom" textRotation="0" wrapText="true" shrinkToFit="false"/>
    </xf>
    <xf xfId="0" fontId="9" numFmtId="0" fillId="2" borderId="1" applyFont="1" applyNumberFormat="0" applyFill="0" applyBorder="1" applyAlignment="1">
      <alignment horizontal="general" vertical="bottom" textRotation="0" wrapText="true" shrinkToFit="false"/>
    </xf>
    <xf xfId="0" fontId="7" numFmtId="164" fillId="7" borderId="5" applyFont="1" applyNumberFormat="1" applyFill="1" applyBorder="1" applyAlignment="1">
      <alignment horizontal="center" vertical="center" textRotation="0" wrapText="false" shrinkToFit="false"/>
    </xf>
    <xf xfId="0" fontId="16" numFmtId="0" fillId="2" borderId="5" applyFont="1" applyNumberFormat="0" applyFill="0" applyBorder="1" applyAlignment="1">
      <alignment horizontal="general" vertical="bottom" textRotation="0" wrapText="true" shrinkToFit="false"/>
    </xf>
    <xf xfId="0" fontId="1" numFmtId="2" fillId="7" borderId="14" applyFont="1" applyNumberFormat="1" applyFill="1" applyBorder="1" applyAlignment="1">
      <alignment horizontal="center" vertical="center" textRotation="0" wrapText="false" shrinkToFit="false"/>
    </xf>
    <xf xfId="0" fontId="1" numFmtId="10" fillId="7" borderId="13" applyFont="1" applyNumberFormat="1" applyFill="1" applyBorder="1" applyAlignment="1">
      <alignment horizontal="center" vertical="center" textRotation="0" wrapText="false" shrinkToFit="false"/>
    </xf>
    <xf xfId="0" fontId="22" numFmtId="10" fillId="9" borderId="12" applyFont="1" applyNumberFormat="1" applyFill="1" applyBorder="1" applyAlignment="1">
      <alignment horizontal="center" vertical="center" textRotation="0" wrapText="false" shrinkToFit="false"/>
    </xf>
    <xf xfId="0" fontId="0" numFmtId="0" fillId="17" borderId="38" applyFont="0" applyNumberFormat="0" applyFill="1" applyBorder="1" applyAlignment="1">
      <alignment horizontal="left" vertical="center" textRotation="0" wrapText="true" shrinkToFit="false"/>
    </xf>
    <xf xfId="0" fontId="0" numFmtId="0" fillId="17" borderId="11" applyFont="0" applyNumberFormat="0" applyFill="1" applyBorder="1" applyAlignment="1">
      <alignment horizontal="left" vertical="center" textRotation="0" wrapText="true" shrinkToFit="false"/>
    </xf>
    <xf xfId="0" fontId="0" numFmtId="2" fillId="17" borderId="19" applyFont="0" applyNumberFormat="1" applyFill="1" applyBorder="1" applyAlignment="1">
      <alignment horizontal="center" vertical="center" textRotation="0" wrapText="true" shrinkToFit="false"/>
    </xf>
    <xf xfId="0" fontId="0" numFmtId="0" fillId="17" borderId="39" applyFont="0" applyNumberFormat="0" applyFill="1" applyBorder="1" applyAlignment="1">
      <alignment horizontal="left" vertical="center" textRotation="0" wrapText="true" shrinkToFit="false"/>
    </xf>
    <xf xfId="0" fontId="0" numFmtId="0" fillId="17" borderId="10" applyFont="0" applyNumberFormat="0" applyFill="1" applyBorder="1" applyAlignment="1">
      <alignment horizontal="left" vertical="center" textRotation="0" wrapText="true" shrinkToFit="false"/>
    </xf>
    <xf xfId="0" fontId="0" numFmtId="0" fillId="18" borderId="40" applyFont="0" applyNumberFormat="0" applyFill="1" applyBorder="1" applyAlignment="1">
      <alignment horizontal="left" vertical="center" textRotation="0" wrapText="true" shrinkToFit="false"/>
    </xf>
    <xf xfId="0" fontId="0" numFmtId="0" fillId="18" borderId="41" applyFont="0" applyNumberFormat="0" applyFill="1" applyBorder="1" applyAlignment="1">
      <alignment horizontal="left" vertical="center" textRotation="0" wrapText="true" shrinkToFit="false"/>
    </xf>
    <xf xfId="0" fontId="0" numFmtId="2" fillId="18" borderId="42" applyFont="0" applyNumberFormat="1" applyFill="1" applyBorder="1" applyAlignment="1">
      <alignment horizontal="center" vertical="center" textRotation="0" wrapText="true" shrinkToFit="false"/>
    </xf>
    <xf xfId="0" fontId="0" numFmtId="0" fillId="18" borderId="38" applyFont="0" applyNumberFormat="0" applyFill="1" applyBorder="1" applyAlignment="1">
      <alignment horizontal="left" vertical="center" textRotation="0" wrapText="true" shrinkToFit="false"/>
    </xf>
    <xf xfId="0" fontId="0" numFmtId="0" fillId="18" borderId="11" applyFont="0" applyNumberFormat="0" applyFill="1" applyBorder="1" applyAlignment="1">
      <alignment horizontal="left" vertical="center" textRotation="0" wrapText="true" shrinkToFit="false"/>
    </xf>
    <xf xfId="0" fontId="0" numFmtId="0" fillId="18" borderId="39" applyFont="0" applyNumberFormat="0" applyFill="1" applyBorder="1" applyAlignment="1">
      <alignment horizontal="left" vertical="center" textRotation="0" wrapText="true" shrinkToFit="false"/>
    </xf>
    <xf xfId="0" fontId="0" numFmtId="0" fillId="18" borderId="10" applyFont="0" applyNumberFormat="0" applyFill="1" applyBorder="1" applyAlignment="1">
      <alignment horizontal="left" vertical="center" textRotation="0" wrapText="true" shrinkToFit="false"/>
    </xf>
    <xf xfId="0" fontId="0" numFmtId="0" fillId="19" borderId="39" applyFont="0" applyNumberFormat="0" applyFill="1" applyBorder="1" applyAlignment="1">
      <alignment horizontal="left" vertical="center" textRotation="0" wrapText="true" shrinkToFit="false"/>
    </xf>
    <xf xfId="0" fontId="0" numFmtId="0" fillId="19" borderId="10" applyFont="0" applyNumberFormat="0" applyFill="1" applyBorder="1" applyAlignment="1">
      <alignment horizontal="left" vertical="center" textRotation="0" wrapText="true" shrinkToFit="false"/>
    </xf>
    <xf xfId="0" fontId="0" numFmtId="0" fillId="20" borderId="40" applyFont="0" applyNumberFormat="0" applyFill="1" applyBorder="1" applyAlignment="1">
      <alignment horizontal="left" vertical="center" textRotation="0" wrapText="true" shrinkToFit="false"/>
    </xf>
    <xf xfId="0" fontId="0" numFmtId="0" fillId="20" borderId="41" applyFont="0" applyNumberFormat="0" applyFill="1" applyBorder="1" applyAlignment="1">
      <alignment horizontal="left" vertical="center" textRotation="0" wrapText="true" shrinkToFit="false"/>
    </xf>
    <xf xfId="0" fontId="0" numFmtId="2" fillId="20" borderId="42" applyFont="0" applyNumberFormat="1" applyFill="1" applyBorder="1" applyAlignment="1">
      <alignment horizontal="center" vertical="center" textRotation="0" wrapText="true" shrinkToFit="false"/>
    </xf>
    <xf xfId="0" fontId="0" numFmtId="0" fillId="20" borderId="38" applyFont="0" applyNumberFormat="0" applyFill="1" applyBorder="1" applyAlignment="1">
      <alignment horizontal="left" vertical="center" textRotation="0" wrapText="true" shrinkToFit="false"/>
    </xf>
    <xf xfId="0" fontId="0" numFmtId="0" fillId="20" borderId="11" applyFont="0" applyNumberFormat="0" applyFill="1" applyBorder="1" applyAlignment="1">
      <alignment horizontal="left" vertical="center" textRotation="0" wrapText="true" shrinkToFit="false"/>
    </xf>
    <xf xfId="0" fontId="0" numFmtId="2" fillId="20" borderId="43" applyFont="0" applyNumberFormat="1" applyFill="1" applyBorder="1" applyAlignment="1">
      <alignment horizontal="center" vertical="center" textRotation="0" wrapText="true" shrinkToFit="false"/>
    </xf>
    <xf xfId="0" fontId="0" numFmtId="0" fillId="20" borderId="39" applyFont="0" applyNumberFormat="0" applyFill="1" applyBorder="1" applyAlignment="1">
      <alignment horizontal="left" vertical="center" textRotation="0" wrapText="true" shrinkToFit="false"/>
    </xf>
    <xf xfId="0" fontId="0" numFmtId="0" fillId="20" borderId="10" applyFont="0" applyNumberFormat="0" applyFill="1" applyBorder="1" applyAlignment="1">
      <alignment horizontal="left" vertical="center" textRotation="0" wrapText="true" shrinkToFit="false"/>
    </xf>
    <xf xfId="0" fontId="0" numFmtId="2" fillId="20" borderId="44" applyFont="0" applyNumberFormat="1" applyFill="1" applyBorder="1" applyAlignment="1">
      <alignment horizontal="center" vertical="center" textRotation="0" wrapText="true" shrinkToFit="false"/>
    </xf>
    <xf xfId="0" fontId="0" numFmtId="0" fillId="19" borderId="38" applyFont="0" applyNumberFormat="0" applyFill="1" applyBorder="1" applyAlignment="1">
      <alignment horizontal="left" vertical="center" textRotation="0" wrapText="true" shrinkToFit="false"/>
    </xf>
    <xf xfId="0" fontId="0" numFmtId="0" fillId="19" borderId="11" applyFont="0" applyNumberFormat="0" applyFill="1" applyBorder="1" applyAlignment="1">
      <alignment horizontal="left" vertical="center" textRotation="0" wrapText="true" shrinkToFit="false"/>
    </xf>
    <xf xfId="0" fontId="0" numFmtId="2" fillId="19" borderId="43" applyFont="0" applyNumberFormat="1" applyFill="1" applyBorder="1" applyAlignment="1">
      <alignment horizontal="center" vertical="center" textRotation="0" wrapText="true" shrinkToFit="false"/>
    </xf>
    <xf xfId="0" fontId="0" numFmtId="2" fillId="19" borderId="19" applyFont="0" applyNumberFormat="1" applyFill="1" applyBorder="1" applyAlignment="1">
      <alignment horizontal="center" vertical="center" textRotation="0" wrapText="true" shrinkToFit="false"/>
    </xf>
    <xf xfId="0" fontId="0" numFmtId="2" fillId="19" borderId="14" applyFont="0" applyNumberFormat="1" applyFill="1" applyBorder="1" applyAlignment="1">
      <alignment horizontal="center" vertical="center" textRotation="0" wrapText="true" shrinkToFit="false"/>
    </xf>
    <xf xfId="0" fontId="0" numFmtId="2" fillId="20" borderId="45" applyFont="0" applyNumberFormat="1" applyFill="1" applyBorder="1" applyAlignment="1">
      <alignment horizontal="center" vertical="center" textRotation="0" wrapText="true" shrinkToFit="false"/>
    </xf>
    <xf xfId="0" fontId="0" numFmtId="2" fillId="20" borderId="19" applyFont="0" applyNumberFormat="1" applyFill="1" applyBorder="1" applyAlignment="1">
      <alignment horizontal="center" vertical="center" textRotation="0" wrapText="true" shrinkToFit="false"/>
    </xf>
    <xf xfId="0" fontId="0" numFmtId="2" fillId="19" borderId="44" applyFont="0" applyNumberFormat="1" applyFill="1" applyBorder="1" applyAlignment="1">
      <alignment horizontal="center" vertical="center" textRotation="0" wrapText="true" shrinkToFit="false"/>
    </xf>
    <xf xfId="0" fontId="0" numFmtId="0" fillId="5" borderId="40" applyFont="0" applyNumberFormat="0" applyFill="1" applyBorder="1" applyAlignment="1">
      <alignment horizontal="left" vertical="center" textRotation="0" wrapText="true" shrinkToFit="false"/>
    </xf>
    <xf xfId="0" fontId="14" numFmtId="0" fillId="5" borderId="41" applyFont="1" applyNumberFormat="0" applyFill="1" applyBorder="1" applyAlignment="1">
      <alignment horizontal="left" vertical="center" textRotation="0" wrapText="true" shrinkToFit="false"/>
    </xf>
    <xf xfId="0" fontId="0" numFmtId="0" fillId="5" borderId="41" applyFont="0" applyNumberFormat="0" applyFill="1" applyBorder="1" applyAlignment="1">
      <alignment horizontal="left" vertical="center" textRotation="0" wrapText="true" shrinkToFit="false"/>
    </xf>
    <xf xfId="0" fontId="0" numFmtId="0" fillId="5" borderId="39" applyFont="0" applyNumberFormat="0" applyFill="1" applyBorder="1" applyAlignment="1">
      <alignment horizontal="left" vertical="center" textRotation="0" wrapText="true" shrinkToFit="false"/>
    </xf>
    <xf xfId="0" fontId="14" numFmtId="0" fillId="5" borderId="10" applyFont="1" applyNumberFormat="0" applyFill="1" applyBorder="1" applyAlignment="1">
      <alignment horizontal="left" vertical="center" textRotation="0" wrapText="true" shrinkToFit="false"/>
    </xf>
    <xf xfId="0" fontId="3" numFmtId="49" fillId="9" borderId="46" applyFont="1" applyNumberFormat="1" applyFill="1" applyBorder="1" applyAlignment="1">
      <alignment horizontal="center" vertical="center" textRotation="0" wrapText="false" shrinkToFit="false"/>
    </xf>
    <xf xfId="0" fontId="3" numFmtId="0" fillId="9" borderId="45" applyFont="1" applyNumberFormat="0" applyFill="1" applyBorder="1" applyAlignment="1">
      <alignment horizontal="center" vertical="center" textRotation="0" wrapText="true" shrinkToFit="false"/>
    </xf>
    <xf xfId="0" fontId="3" numFmtId="0" fillId="9" borderId="42" applyFont="1" applyNumberFormat="0" applyFill="1" applyBorder="1" applyAlignment="1">
      <alignment horizontal="center" vertical="center" textRotation="0" wrapText="true" shrinkToFit="false"/>
    </xf>
    <xf xfId="0" fontId="1" numFmtId="0" fillId="7" borderId="14" applyFont="1" applyNumberFormat="0" applyFill="1" applyBorder="1" applyAlignment="1">
      <alignment horizontal="center" vertical="center" textRotation="0" wrapText="true" shrinkToFit="false"/>
    </xf>
    <xf xfId="0" fontId="0" numFmtId="2" fillId="17" borderId="14" applyFont="0" applyNumberFormat="1" applyFill="1" applyBorder="1" applyAlignment="1">
      <alignment horizontal="center" vertical="center" textRotation="0" wrapText="true" shrinkToFit="false"/>
    </xf>
    <xf xfId="0" fontId="0" numFmtId="2" fillId="5" borderId="40" applyFont="0" applyNumberFormat="1" applyFill="1" applyBorder="1" applyAlignment="1">
      <alignment horizontal="center" vertical="center" textRotation="0" wrapText="true" shrinkToFit="false"/>
    </xf>
    <xf xfId="0" fontId="0" numFmtId="2" fillId="5" borderId="39" applyFont="0" applyNumberFormat="1" applyFill="1" applyBorder="1" applyAlignment="1">
      <alignment horizontal="center" vertical="center" textRotation="0" wrapText="true" shrinkToFit="false"/>
    </xf>
    <xf xfId="0" fontId="0" numFmtId="2" fillId="17" borderId="43" applyFont="0" applyNumberFormat="1" applyFill="1" applyBorder="1" applyAlignment="1">
      <alignment horizontal="center" vertical="center" textRotation="0" wrapText="true" shrinkToFit="false"/>
    </xf>
    <xf xfId="0" fontId="0" numFmtId="2" fillId="17" borderId="44" applyFont="0" applyNumberFormat="1" applyFill="1" applyBorder="1" applyAlignment="1">
      <alignment horizontal="center" vertical="center" textRotation="0" wrapText="true" shrinkToFit="false"/>
    </xf>
    <xf xfId="0" fontId="0" numFmtId="2" fillId="18" borderId="43" applyFont="0" applyNumberFormat="1" applyFill="1" applyBorder="1" applyAlignment="1">
      <alignment horizontal="center" vertical="center" textRotation="0" wrapText="true" shrinkToFit="false"/>
    </xf>
    <xf xfId="0" fontId="0" numFmtId="2" fillId="18" borderId="44" applyFont="0" applyNumberFormat="1" applyFill="1" applyBorder="1" applyAlignment="1">
      <alignment horizontal="center" vertical="center" textRotation="0" wrapText="true" shrinkToFit="false"/>
    </xf>
    <xf xfId="0" fontId="0" numFmtId="2" fillId="5" borderId="42" applyFont="0" applyNumberFormat="1" applyFill="1" applyBorder="1" applyAlignment="1">
      <alignment horizontal="center" vertical="center" textRotation="0" wrapText="true" shrinkToFit="false"/>
    </xf>
    <xf xfId="0" fontId="0" numFmtId="2" fillId="5" borderId="44" applyFont="0" applyNumberFormat="1" applyFill="1" applyBorder="1" applyAlignment="1">
      <alignment horizontal="center" vertical="center" textRotation="0" wrapText="true" shrinkToFit="false"/>
    </xf>
    <xf xfId="0" fontId="3" numFmtId="0" fillId="9" borderId="46" applyFont="1" applyNumberFormat="0" applyFill="1" applyBorder="1" applyAlignment="1">
      <alignment horizontal="center" vertical="center" textRotation="0" wrapText="true" shrinkToFit="false"/>
    </xf>
    <xf xfId="0" fontId="10" numFmtId="2" fillId="2" borderId="0" applyFont="1" applyNumberFormat="1" applyFill="0" applyBorder="0" applyAlignment="1">
      <alignment horizontal="center" vertical="top" textRotation="0" wrapText="false" shrinkToFit="false"/>
    </xf>
    <xf xfId="0" fontId="10" numFmtId="2" fillId="2" borderId="0" applyFont="1" applyNumberFormat="1" applyFill="0" applyBorder="0" applyAlignment="1">
      <alignment horizontal="left" vertical="center" textRotation="0" wrapText="true" shrinkToFit="false"/>
    </xf>
    <xf xfId="0" fontId="0" numFmtId="0" fillId="5" borderId="38" applyFont="0" applyNumberFormat="0" applyFill="1" applyBorder="1" applyAlignment="1">
      <alignment horizontal="left" vertical="center" textRotation="0" wrapText="true" shrinkToFit="false"/>
    </xf>
    <xf xfId="0" fontId="14" numFmtId="0" fillId="5" borderId="11" applyFont="1" applyNumberFormat="0" applyFill="1" applyBorder="1" applyAlignment="1">
      <alignment horizontal="left" vertical="center" textRotation="0" wrapText="true" shrinkToFit="false"/>
    </xf>
    <xf xfId="0" fontId="0" numFmtId="2" fillId="5" borderId="38" applyFont="0" applyNumberFormat="1" applyFill="1" applyBorder="1" applyAlignment="1">
      <alignment horizontal="center" vertical="center" textRotation="0" wrapText="true" shrinkToFit="false"/>
    </xf>
    <xf xfId="0" fontId="0" numFmtId="2" fillId="5" borderId="43" applyFont="0" applyNumberFormat="1" applyFill="1" applyBorder="1" applyAlignment="1">
      <alignment horizontal="center" vertical="center" textRotation="0" wrapText="true" shrinkToFit="false"/>
    </xf>
    <xf xfId="0" fontId="0" numFmtId="2" fillId="18" borderId="45" applyFont="0" applyNumberFormat="1" applyFill="1" applyBorder="1" applyAlignment="1">
      <alignment horizontal="center" vertical="center" textRotation="0" wrapText="true" shrinkToFit="false"/>
    </xf>
    <xf xfId="0" fontId="0" numFmtId="2" fillId="18" borderId="19" applyFont="0" applyNumberFormat="1" applyFill="1" applyBorder="1" applyAlignment="1">
      <alignment horizontal="center" vertical="center" textRotation="0" wrapText="true" shrinkToFit="false"/>
    </xf>
    <xf xfId="0" fontId="0" numFmtId="2" fillId="18" borderId="14" applyFont="0" applyNumberFormat="1" applyFill="1" applyBorder="1" applyAlignment="1">
      <alignment horizontal="center" vertical="center" textRotation="0" wrapText="true" shrinkToFit="false"/>
    </xf>
    <xf xfId="0" fontId="0" numFmtId="2" fillId="20" borderId="14" applyFont="0" applyNumberFormat="1" applyFill="1" applyBorder="1" applyAlignment="1">
      <alignment horizontal="center" vertical="center" textRotation="0" wrapText="true" shrinkToFit="false"/>
    </xf>
    <xf xfId="0" fontId="7" numFmtId="164" fillId="10" borderId="5" applyFont="1" applyNumberFormat="1" applyFill="1" applyBorder="1" applyAlignment="1">
      <alignment horizontal="center" vertical="center" textRotation="0" wrapText="false" shrinkToFit="false"/>
    </xf>
    <xf xfId="0" fontId="7" numFmtId="10" fillId="7" borderId="5" applyFont="1" applyNumberFormat="1" applyFill="1" applyBorder="1" applyAlignment="1">
      <alignment horizontal="center" vertical="center" textRotation="0" wrapText="false" shrinkToFit="false"/>
    </xf>
    <xf xfId="0" fontId="8" numFmtId="10" fillId="7" borderId="1" applyFont="1" applyNumberFormat="1" applyFill="1" applyBorder="1" applyAlignment="1">
      <alignment horizontal="center" vertical="center" textRotation="0" wrapText="false" shrinkToFit="false"/>
    </xf>
    <xf xfId="0" fontId="0" numFmtId="0" fillId="2" borderId="38" applyFont="0" applyNumberFormat="0" applyFill="0" applyBorder="1" applyAlignment="1">
      <alignment horizontal="left" vertical="center" textRotation="0" wrapText="true" shrinkToFit="false"/>
    </xf>
    <xf xfId="0" fontId="0" numFmtId="0" fillId="2" borderId="11" applyFont="0" applyNumberFormat="0" applyFill="0" applyBorder="1" applyAlignment="1">
      <alignment horizontal="left" vertical="center" textRotation="0" wrapText="true" shrinkToFit="false"/>
    </xf>
    <xf xfId="0" fontId="0" numFmtId="0" fillId="2" borderId="19" applyFont="0" applyNumberFormat="0" applyFill="0" applyBorder="1" applyAlignment="1">
      <alignment horizontal="center" vertical="center" textRotation="0" wrapText="false" shrinkToFit="false"/>
    </xf>
    <xf xfId="0" fontId="3" numFmtId="0" fillId="9" borderId="21" applyFont="1" applyNumberFormat="0" applyFill="1" applyBorder="1" applyAlignment="1">
      <alignment horizontal="center" vertical="center" textRotation="0" wrapText="true" shrinkToFit="false"/>
    </xf>
    <xf xfId="0" fontId="3" numFmtId="0" fillId="9" borderId="30" applyFont="1" applyNumberFormat="0" applyFill="1" applyBorder="1" applyAlignment="1">
      <alignment horizontal="center" vertical="center" textRotation="0" wrapText="true" shrinkToFit="false"/>
    </xf>
    <xf xfId="0" fontId="1" numFmtId="0" fillId="10" borderId="1" applyFont="1" applyNumberFormat="0" applyFill="1" applyBorder="1" applyAlignment="1">
      <alignment horizontal="general" vertical="center" textRotation="0" wrapText="false" shrinkToFit="false"/>
    </xf>
    <xf xfId="0" fontId="1" numFmtId="0" fillId="10" borderId="47" applyFont="1" applyNumberFormat="0" applyFill="1" applyBorder="1" applyAlignment="1">
      <alignment horizontal="general" vertical="center" textRotation="0" wrapText="false" shrinkToFit="false"/>
    </xf>
    <xf xfId="0" fontId="1" numFmtId="0" fillId="10" borderId="5" applyFont="1" applyNumberFormat="0" applyFill="1" applyBorder="1" applyAlignment="1">
      <alignment horizontal="general" vertical="center" textRotation="0" wrapText="false" shrinkToFit="false"/>
    </xf>
    <xf xfId="0" fontId="1" numFmtId="0" fillId="10" borderId="48" applyFont="1" applyNumberFormat="0" applyFill="1" applyBorder="1" applyAlignment="1">
      <alignment horizontal="general" vertical="center" textRotation="0" wrapText="false" shrinkToFit="false"/>
    </xf>
    <xf xfId="0" fontId="3" numFmtId="2" fillId="13" borderId="26" applyFont="1" applyNumberFormat="1" applyFill="1" applyBorder="1" applyAlignment="1">
      <alignment horizontal="center" vertical="center" textRotation="0" wrapText="true" shrinkToFit="false"/>
    </xf>
    <xf xfId="0" fontId="1" numFmtId="0" fillId="10" borderId="49" applyFont="1" applyNumberFormat="0" applyFill="1" applyBorder="1" applyAlignment="1">
      <alignment horizontal="general" vertical="center" textRotation="0" wrapText="false" shrinkToFit="false"/>
    </xf>
    <xf xfId="0" fontId="1" numFmtId="0" fillId="10" borderId="6" applyFont="1" applyNumberFormat="0" applyFill="1" applyBorder="1" applyAlignment="1">
      <alignment horizontal="general" vertical="center" textRotation="0" wrapText="false" shrinkToFit="false"/>
    </xf>
    <xf xfId="0" fontId="1" numFmtId="0" fillId="21" borderId="42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3" numFmtId="2" fillId="9" borderId="31" applyFont="1" applyNumberFormat="1" applyFill="1" applyBorder="1" applyAlignment="1">
      <alignment horizontal="center" vertical="center" textRotation="0" wrapText="true" shrinkToFit="false"/>
    </xf>
    <xf xfId="0" fontId="3" numFmtId="0" fillId="9" borderId="23" applyFont="1" applyNumberFormat="0" applyFill="1" applyBorder="1" applyAlignment="1">
      <alignment horizontal="center" vertical="center" textRotation="0" wrapText="true" shrinkToFit="false"/>
    </xf>
    <xf xfId="0" fontId="3" numFmtId="0" fillId="9" borderId="33" applyFont="1" applyNumberFormat="0" applyFill="1" applyBorder="1" applyAlignment="1">
      <alignment horizontal="center" vertical="center" textRotation="0" wrapText="true" shrinkToFit="false"/>
    </xf>
    <xf xfId="0" fontId="3" numFmtId="2" fillId="9" borderId="34" applyFont="1" applyNumberFormat="1" applyFill="1" applyBorder="1" applyAlignment="1">
      <alignment horizontal="center" vertical="center" textRotation="0" wrapText="true" shrinkToFit="false"/>
    </xf>
    <xf xfId="0" fontId="1" numFmtId="2" fillId="22" borderId="2" applyFont="1" applyNumberFormat="1" applyFill="1" applyBorder="1" applyAlignment="1">
      <alignment horizontal="center" vertical="center" textRotation="0" wrapText="true" shrinkToFit="false"/>
    </xf>
    <xf xfId="0" fontId="2" numFmtId="0" fillId="2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10" borderId="1" applyFont="1" applyNumberFormat="0" applyFill="1" applyBorder="1" applyAlignment="1">
      <alignment horizontal="general" vertical="center" textRotation="0" wrapText="false" shrinkToFit="false"/>
    </xf>
    <xf xfId="0" fontId="3" numFmtId="2" fillId="9" borderId="14" applyFont="1" applyNumberFormat="1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0" numFmtId="2" fillId="7" borderId="1" applyFont="0" applyNumberFormat="1" applyFill="1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0">
      <alignment horizontal="general" vertical="bottom" textRotation="0" wrapText="false" shrinkToFit="false"/>
    </xf>
    <xf xfId="0" fontId="0" numFmtId="2" fillId="8" borderId="1" applyFont="0" applyNumberFormat="1" applyFill="1" applyBorder="1" applyAlignment="0">
      <alignment horizontal="general" vertical="bottom" textRotation="0" wrapText="false" shrinkToFit="false"/>
    </xf>
    <xf xfId="0" fontId="0" numFmtId="9" fillId="7" borderId="1" applyFont="0" applyNumberFormat="1" applyFill="1" applyBorder="1" applyAlignment="0">
      <alignment horizontal="general" vertical="bottom" textRotation="0" wrapText="false" shrinkToFit="false"/>
    </xf>
    <xf xfId="0" fontId="0" numFmtId="9" fillId="8" borderId="1" applyFont="0" applyNumberFormat="1" applyFill="1" applyBorder="1" applyAlignment="0">
      <alignment horizontal="general" vertical="bottom" textRotation="0" wrapText="false" shrinkToFit="false"/>
    </xf>
    <xf xfId="0" fontId="0" numFmtId="0" fillId="2" borderId="19" applyFont="0" applyNumberFormat="0" applyFill="0" applyBorder="1" applyAlignment="0">
      <alignment horizontal="general" vertical="bottom" textRotation="0" wrapText="false" shrinkToFit="false"/>
    </xf>
    <xf xfId="0" fontId="2" numFmtId="0" fillId="7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19" applyFont="1" applyNumberFormat="0" applyFill="0" applyBorder="1" applyAlignment="1">
      <alignment horizontal="general" vertical="bottom" textRotation="0" wrapText="true" shrinkToFit="false"/>
    </xf>
    <xf xfId="0" fontId="2" numFmtId="0" fillId="8" borderId="1" applyFont="1" applyNumberFormat="0" applyFill="1" applyBorder="1" applyAlignment="1">
      <alignment horizontal="center" vertical="bottom" textRotation="0" wrapText="true" shrinkToFit="false"/>
    </xf>
    <xf xfId="0" fontId="23" numFmtId="0" fillId="7" borderId="1" applyFont="1" applyNumberFormat="0" applyFill="1" applyBorder="1" applyAlignment="1">
      <alignment horizontal="center" vertical="center" textRotation="0" wrapText="true" shrinkToFit="false"/>
    </xf>
    <xf xfId="0" fontId="23" numFmtId="0" fillId="8" borderId="1" applyFont="1" applyNumberFormat="0" applyFill="1" applyBorder="1" applyAlignment="1">
      <alignment horizontal="center" vertical="center" textRotation="0" wrapText="true" shrinkToFit="false"/>
    </xf>
    <xf xfId="0" fontId="3" numFmtId="49" fillId="8" borderId="46" applyFont="1" applyNumberFormat="1" applyFill="1" applyBorder="1" applyAlignment="1">
      <alignment horizontal="center" vertical="center" textRotation="0" wrapText="false" shrinkToFit="false"/>
    </xf>
    <xf xfId="0" fontId="1" numFmtId="0" fillId="3" borderId="45" applyFont="1" applyNumberFormat="0" applyFill="1" applyBorder="1" applyAlignment="1">
      <alignment horizontal="general" vertical="center" textRotation="0" wrapText="true" shrinkToFit="false"/>
    </xf>
    <xf xfId="0" fontId="1" numFmtId="0" fillId="3" borderId="45" applyFont="1" applyNumberFormat="0" applyFill="1" applyBorder="1" applyAlignment="1">
      <alignment horizontal="center" vertical="center" textRotation="0" wrapText="true" shrinkToFit="false"/>
    </xf>
    <xf xfId="0" fontId="1" numFmtId="10" fillId="3" borderId="45" applyFont="1" applyNumberFormat="1" applyFill="1" applyBorder="1" applyAlignment="1">
      <alignment horizontal="center" vertical="center" textRotation="0" wrapText="true" shrinkToFit="false"/>
    </xf>
    <xf xfId="0" fontId="1" numFmtId="2" fillId="3" borderId="45" applyFont="1" applyNumberFormat="1" applyFill="1" applyBorder="1" applyAlignment="1">
      <alignment horizontal="center" vertical="center" textRotation="0" wrapText="true" shrinkToFit="false"/>
    </xf>
    <xf xfId="0" fontId="7" numFmtId="164" fillId="10" borderId="45" applyFont="1" applyNumberFormat="1" applyFill="1" applyBorder="1" applyAlignment="1">
      <alignment horizontal="center" vertical="center" textRotation="0" wrapText="false" shrinkToFit="false"/>
    </xf>
    <xf xfId="0" fontId="1" numFmtId="10" fillId="7" borderId="45" applyFont="1" applyNumberFormat="1" applyFill="1" applyBorder="1" applyAlignment="1">
      <alignment horizontal="center" vertical="center" textRotation="0" wrapText="false" shrinkToFit="false"/>
    </xf>
    <xf xfId="0" fontId="7" numFmtId="164" fillId="7" borderId="45" applyFont="1" applyNumberFormat="1" applyFill="1" applyBorder="1" applyAlignment="1">
      <alignment horizontal="center" vertical="center" textRotation="0" wrapText="false" shrinkToFit="false"/>
    </xf>
    <xf xfId="0" fontId="1" numFmtId="10" fillId="8" borderId="45" applyFont="1" applyNumberFormat="1" applyFill="1" applyBorder="1" applyAlignment="1">
      <alignment horizontal="center" vertical="center" textRotation="0" wrapText="true" shrinkToFit="false"/>
    </xf>
    <xf xfId="0" fontId="7" numFmtId="164" fillId="8" borderId="45" applyFont="1" applyNumberFormat="1" applyFill="1" applyBorder="1" applyAlignment="1">
      <alignment horizontal="center" vertical="center" textRotation="0" wrapText="false" shrinkToFit="false"/>
    </xf>
    <xf xfId="0" fontId="7" numFmtId="10" fillId="7" borderId="45" applyFont="1" applyNumberFormat="1" applyFill="1" applyBorder="1" applyAlignment="1">
      <alignment horizontal="center" vertical="center" textRotation="0" wrapText="false" shrinkToFit="false"/>
    </xf>
    <xf xfId="0" fontId="1" numFmtId="2" fillId="7" borderId="45" applyFont="1" applyNumberFormat="1" applyFill="1" applyBorder="1" applyAlignment="1">
      <alignment horizontal="center" vertical="center" textRotation="0" wrapText="false" shrinkToFit="false"/>
    </xf>
    <xf xfId="0" fontId="1" numFmtId="2" fillId="8" borderId="45" applyFont="1" applyNumberFormat="1" applyFill="1" applyBorder="1" applyAlignment="1">
      <alignment horizontal="center" vertical="center" textRotation="0" wrapText="false" shrinkToFit="false"/>
    </xf>
    <xf xfId="0" fontId="16" numFmtId="0" fillId="2" borderId="45" applyFont="1" applyNumberFormat="0" applyFill="0" applyBorder="1" applyAlignment="1">
      <alignment horizontal="general" vertical="bottom" textRotation="0" wrapText="true" shrinkToFit="false"/>
    </xf>
    <xf xfId="0" fontId="1" numFmtId="10" fillId="6" borderId="1" applyFont="1" applyNumberFormat="1" applyFill="1" applyBorder="1" applyAlignment="1">
      <alignment horizontal="center" vertical="center" textRotation="0" wrapText="true" shrinkToFit="false"/>
    </xf>
    <xf xfId="0" fontId="7" numFmtId="164" fillId="8" borderId="5" applyFont="1" applyNumberFormat="1" applyFill="1" applyBorder="1" applyAlignment="1">
      <alignment horizontal="center" vertical="center" textRotation="0" wrapText="false" shrinkToFit="false"/>
    </xf>
    <xf xfId="0" fontId="19" numFmtId="0" fillId="2" borderId="2" applyFont="1" applyNumberFormat="0" applyFill="0" applyBorder="1" applyAlignment="1">
      <alignment horizontal="general" vertical="bottom" textRotation="0" wrapText="true" shrinkToFit="false"/>
    </xf>
    <xf xfId="0" fontId="19" numFmtId="0" fillId="2" borderId="26" applyFont="1" applyNumberFormat="0" applyFill="0" applyBorder="1" applyAlignment="1">
      <alignment horizontal="general" vertical="bottom" textRotation="0" wrapText="true" shrinkToFit="false"/>
    </xf>
    <xf xfId="0" fontId="16" numFmtId="0" fillId="2" borderId="27" applyFont="1" applyNumberFormat="0" applyFill="0" applyBorder="1" applyAlignment="1">
      <alignment horizontal="general" vertical="bottom" textRotation="0" wrapText="true" shrinkToFit="false"/>
    </xf>
    <xf xfId="0" fontId="1" numFmtId="165" fillId="10" borderId="5" applyFont="1" applyNumberFormat="1" applyFill="1" applyBorder="1" applyAlignment="1">
      <alignment horizontal="center" vertical="center" textRotation="0" wrapText="true" shrinkToFit="false"/>
    </xf>
    <xf xfId="0" fontId="8" numFmtId="10" fillId="7" borderId="7" applyFont="1" applyNumberFormat="1" applyFill="1" applyBorder="1" applyAlignment="1">
      <alignment horizontal="center" vertical="center" textRotation="0" wrapText="false" shrinkToFit="false"/>
    </xf>
    <xf xfId="0" fontId="0" numFmtId="0" fillId="5" borderId="10" applyFont="0" applyNumberFormat="0" applyFill="1" applyBorder="1" applyAlignment="1">
      <alignment horizontal="left" vertical="center" textRotation="0" wrapText="true" shrinkToFit="false"/>
    </xf>
    <xf xfId="0" fontId="1" numFmtId="2" fillId="8" borderId="19" applyFont="1" applyNumberFormat="1" applyFill="1" applyBorder="1" applyAlignment="1">
      <alignment horizontal="center" vertical="center" textRotation="0" wrapText="false" shrinkToFit="false"/>
    </xf>
    <xf xfId="0" fontId="0" numFmtId="0" fillId="5" borderId="11" applyFont="0" applyNumberFormat="0" applyFill="1" applyBorder="1" applyAlignment="1">
      <alignment horizontal="left" vertical="center" textRotation="0" wrapText="true" shrinkToFit="false"/>
    </xf>
    <xf xfId="0" fontId="3" numFmtId="0" fillId="8" borderId="25" applyFont="1" applyNumberFormat="0" applyFill="1" applyBorder="1" applyAlignment="1">
      <alignment horizontal="center" vertical="center" textRotation="0" wrapText="true" shrinkToFit="false"/>
    </xf>
    <xf xfId="0" fontId="9" numFmtId="0" fillId="2" borderId="2" applyFont="1" applyNumberFormat="0" applyFill="0" applyBorder="1" applyAlignment="1">
      <alignment horizontal="general" vertical="bottom" textRotation="0" wrapText="true" shrinkToFit="false"/>
    </xf>
    <xf xfId="0" fontId="0" numFmtId="0" fillId="2" borderId="26" applyFont="0" applyNumberFormat="0" applyFill="0" applyBorder="1" applyAlignment="1">
      <alignment horizontal="general" vertical="bottom" textRotation="0" wrapText="true" shrinkToFit="false"/>
    </xf>
    <xf xfId="0" fontId="16" numFmtId="0" fillId="2" borderId="26" applyFont="1" applyNumberFormat="0" applyFill="0" applyBorder="1" applyAlignment="1">
      <alignment horizontal="general" vertical="bottom" textRotation="0" wrapText="true" shrinkToFit="false"/>
    </xf>
    <xf xfId="0" fontId="9" numFmtId="0" fillId="2" borderId="26" applyFont="1" applyNumberFormat="0" applyFill="0" applyBorder="1" applyAlignment="1">
      <alignment horizontal="general" vertical="bottom" textRotation="0" wrapText="true" shrinkToFit="false"/>
    </xf>
    <xf xfId="0" fontId="18" numFmtId="0" fillId="2" borderId="27" applyFont="1" applyNumberFormat="0" applyFill="0" applyBorder="1" applyAlignment="1">
      <alignment horizontal="general" vertical="bottom" textRotation="0" wrapText="true" shrinkToFit="false"/>
    </xf>
    <xf xfId="0" fontId="16" numFmtId="0" fillId="2" borderId="44" applyFont="1" applyNumberFormat="0" applyFill="0" applyBorder="1" applyAlignment="1">
      <alignment horizontal="general" vertical="bottom" textRotation="0" wrapText="true" shrinkToFit="false"/>
    </xf>
    <xf xfId="0" fontId="16" numFmtId="0" fillId="2" borderId="25" applyFont="1" applyNumberFormat="0" applyFill="0" applyBorder="1" applyAlignment="1">
      <alignment horizontal="general" vertical="bottom" textRotation="0" wrapText="true" shrinkToFit="false"/>
    </xf>
    <xf xfId="0" fontId="16" numFmtId="0" fillId="2" borderId="2" applyFont="1" applyNumberFormat="0" applyFill="0" applyBorder="1" applyAlignment="1">
      <alignment horizontal="general" vertical="bottom" textRotation="0" wrapText="true" shrinkToFit="false"/>
    </xf>
    <xf xfId="0" fontId="16" numFmtId="0" fillId="2" borderId="42" applyFont="1" applyNumberFormat="0" applyFill="0" applyBorder="1" applyAlignment="1">
      <alignment horizontal="general" vertical="bottom" textRotation="0" wrapText="true" shrinkToFit="false"/>
    </xf>
    <xf xfId="0" fontId="2" numFmtId="164" fillId="10" borderId="25" applyFont="1" applyNumberFormat="1" applyFill="1" applyBorder="1" applyAlignment="1">
      <alignment horizontal="center" vertical="bottom" textRotation="0" wrapText="true" shrinkToFit="false"/>
    </xf>
    <xf xfId="0" fontId="1" numFmtId="2" fillId="6" borderId="1" applyFont="1" applyNumberFormat="1" applyFill="1" applyBorder="1" applyAlignment="1">
      <alignment horizontal="center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true" shrinkToFit="false"/>
    </xf>
    <xf xfId="0" fontId="1" numFmtId="10" fillId="10" borderId="6" applyFont="1" applyNumberFormat="1" applyFill="1" applyBorder="1" applyAlignment="1">
      <alignment horizontal="center" vertical="center" textRotation="0" wrapText="true" shrinkToFit="false"/>
    </xf>
    <xf xfId="0" fontId="3" numFmtId="49" fillId="9" borderId="50" applyFont="1" applyNumberFormat="1" applyFill="1" applyBorder="1" applyAlignment="1">
      <alignment horizontal="center" vertical="center" textRotation="0" wrapText="false" shrinkToFit="false"/>
    </xf>
    <xf xfId="0" fontId="3" numFmtId="0" fillId="9" borderId="14" applyFont="1" applyNumberFormat="0" applyFill="1" applyBorder="1" applyAlignment="1">
      <alignment horizontal="right" vertical="top" textRotation="0" wrapText="true" shrinkToFit="false"/>
    </xf>
    <xf xfId="0" fontId="3" numFmtId="0" fillId="9" borderId="14" applyFont="1" applyNumberFormat="0" applyFill="1" applyBorder="1" applyAlignment="1">
      <alignment horizontal="center" vertical="top" textRotation="0" wrapText="true" shrinkToFit="false"/>
    </xf>
    <xf xfId="0" fontId="3" numFmtId="10" fillId="9" borderId="14" applyFont="1" applyNumberFormat="1" applyFill="1" applyBorder="1" applyAlignment="1">
      <alignment horizontal="center" vertical="top" textRotation="0" wrapText="true" shrinkToFit="false"/>
    </xf>
    <xf xfId="0" fontId="3" numFmtId="2" fillId="9" borderId="14" applyFont="1" applyNumberFormat="1" applyFill="1" applyBorder="1" applyAlignment="1">
      <alignment horizontal="center" vertical="top" textRotation="0" wrapText="true" shrinkToFit="false"/>
    </xf>
    <xf xfId="0" fontId="6" numFmtId="164" fillId="10" borderId="14" applyFont="1" applyNumberFormat="1" applyFill="1" applyBorder="1" applyAlignment="1">
      <alignment horizontal="center" vertical="center" textRotation="0" wrapText="false" shrinkToFit="false"/>
    </xf>
    <xf xfId="0" fontId="3" numFmtId="10" fillId="9" borderId="14" applyFont="1" applyNumberFormat="1" applyFill="1" applyBorder="1" applyAlignment="1">
      <alignment horizontal="center" vertical="center" textRotation="0" wrapText="false" shrinkToFit="false"/>
    </xf>
    <xf xfId="0" fontId="7" numFmtId="9" fillId="9" borderId="14" applyFont="1" applyNumberFormat="1" applyFill="1" applyBorder="1" applyAlignment="1">
      <alignment horizontal="center" vertical="center" textRotation="0" wrapText="false" shrinkToFit="false"/>
    </xf>
    <xf xfId="0" fontId="7" numFmtId="10" fillId="9" borderId="14" applyFont="1" applyNumberFormat="1" applyFill="1" applyBorder="1" applyAlignment="1">
      <alignment horizontal="center" vertical="center" textRotation="0" wrapText="false" shrinkToFit="false"/>
    </xf>
    <xf xfId="0" fontId="7" numFmtId="164" fillId="9" borderId="14" applyFont="1" applyNumberFormat="1" applyFill="1" applyBorder="1" applyAlignment="1">
      <alignment horizontal="center" vertical="center" textRotation="0" wrapText="false" shrinkToFit="false"/>
    </xf>
    <xf xfId="0" fontId="2" numFmtId="164" fillId="10" borderId="44" applyFont="1" applyNumberFormat="1" applyFill="1" applyBorder="1" applyAlignment="1">
      <alignment horizontal="center" vertical="bottom" textRotation="0" wrapText="true" shrinkToFit="false"/>
    </xf>
    <xf xfId="0" fontId="2" numFmtId="164" fillId="10" borderId="14" applyFont="1" applyNumberFormat="1" applyFill="1" applyBorder="1" applyAlignment="1">
      <alignment horizontal="center" vertical="bottom" textRotation="0" wrapText="true" shrinkToFit="false"/>
    </xf>
    <xf xfId="0" fontId="3" numFmtId="49" fillId="9" borderId="51" applyFont="1" applyNumberFormat="1" applyFill="1" applyBorder="1" applyAlignment="1">
      <alignment horizontal="center" vertical="center" textRotation="0" wrapText="false" shrinkToFit="false"/>
    </xf>
    <xf xfId="0" fontId="3" numFmtId="49" fillId="9" borderId="52" applyFont="1" applyNumberFormat="1" applyFill="1" applyBorder="1" applyAlignment="1">
      <alignment horizontal="center" vertical="center" textRotation="0" wrapText="false" shrinkToFit="false"/>
    </xf>
    <xf xfId="0" fontId="3" numFmtId="49" fillId="9" borderId="53" applyFont="1" applyNumberFormat="1" applyFill="1" applyBorder="1" applyAlignment="1">
      <alignment horizontal="center" vertical="center" textRotation="0" wrapText="false" shrinkToFit="false"/>
    </xf>
    <xf xfId="0" fontId="3" numFmtId="0" fillId="9" borderId="21" applyFont="1" applyNumberFormat="0" applyFill="1" applyBorder="1" applyAlignment="1">
      <alignment horizontal="center" vertical="center" textRotation="0" wrapText="true" shrinkToFit="false"/>
    </xf>
    <xf xfId="0" fontId="3" numFmtId="0" fillId="9" borderId="30" applyFont="1" applyNumberFormat="0" applyFill="1" applyBorder="1" applyAlignment="1">
      <alignment horizontal="center" vertical="center" textRotation="0" wrapText="true" shrinkToFit="false"/>
    </xf>
    <xf xfId="0" fontId="3" numFmtId="49" fillId="10" borderId="54" applyFont="1" applyNumberFormat="1" applyFill="1" applyBorder="1" applyAlignment="1">
      <alignment horizontal="center" vertical="center" textRotation="0" wrapText="false" shrinkToFit="false"/>
    </xf>
    <xf xfId="0" fontId="3" numFmtId="49" fillId="7" borderId="50" applyFont="1" applyNumberFormat="1" applyFill="1" applyBorder="1" applyAlignment="1">
      <alignment horizontal="center" vertical="center" textRotation="0" wrapText="false" shrinkToFit="false"/>
    </xf>
    <xf xfId="0" fontId="3" numFmtId="0" fillId="9" borderId="8" applyFont="1" applyNumberFormat="0" applyFill="1" applyBorder="1" applyAlignment="1">
      <alignment horizontal="center" vertical="center" textRotation="0" wrapText="true" shrinkToFit="false"/>
    </xf>
    <xf xfId="0" fontId="1" numFmtId="49" fillId="2" borderId="1" applyFont="1" applyNumberFormat="1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0" fillId="7" borderId="13" applyFont="1" applyNumberFormat="0" applyFill="1" applyBorder="1" applyAlignment="1">
      <alignment horizontal="center" vertical="center" textRotation="0" wrapText="true" shrinkToFit="false"/>
    </xf>
    <xf xfId="0" fontId="1" numFmtId="0" fillId="7" borderId="13" applyFont="1" applyNumberFormat="0" applyFill="1" applyBorder="1" applyAlignment="1">
      <alignment horizontal="general" vertical="center" textRotation="0" wrapText="true" shrinkToFit="false"/>
    </xf>
    <xf xfId="0" fontId="2" numFmtId="0" fillId="2" borderId="8" applyFont="1" applyNumberFormat="0" applyFill="0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2" fillId="7" borderId="5" applyFont="1" applyNumberFormat="1" applyFill="1" applyBorder="1" applyAlignment="1">
      <alignment horizontal="right" vertical="center" textRotation="0" wrapText="true" shrinkToFit="false"/>
    </xf>
    <xf xfId="0" fontId="1" numFmtId="0" fillId="14" borderId="2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1" numFmtId="0" fillId="8" borderId="47" applyFont="1" applyNumberFormat="0" applyFill="1" applyBorder="1" applyAlignment="1">
      <alignment horizontal="center" vertical="center" textRotation="0" wrapText="false" shrinkToFit="false"/>
    </xf>
    <xf xfId="0" fontId="1" numFmtId="0" fillId="8" borderId="5" applyFont="1" applyNumberFormat="0" applyFill="1" applyBorder="1" applyAlignment="1">
      <alignment horizontal="general" vertical="center" textRotation="0" wrapText="false" shrinkToFit="false"/>
    </xf>
    <xf xfId="0" fontId="1" numFmtId="2" fillId="8" borderId="5" applyFont="1" applyNumberFormat="1" applyFill="1" applyBorder="1" applyAlignment="1">
      <alignment horizontal="right" vertical="center" textRotation="0" wrapText="false" shrinkToFit="false"/>
    </xf>
    <xf xfId="0" fontId="1" numFmtId="2" fillId="7" borderId="1" applyFont="1" applyNumberFormat="1" applyFill="1" applyBorder="1" applyAlignment="1">
      <alignment horizontal="right" vertical="center" textRotation="0" wrapText="true" shrinkToFit="false"/>
    </xf>
    <xf xfId="0" fontId="1" numFmtId="0" fillId="14" borderId="26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1" numFmtId="0" fillId="8" borderId="48" applyFont="1" applyNumberFormat="0" applyFill="1" applyBorder="1" applyAlignment="1">
      <alignment horizontal="center" vertical="center" textRotation="0" wrapText="false" shrinkToFit="false"/>
    </xf>
    <xf xfId="0" fontId="1" numFmtId="0" fillId="8" borderId="1" applyFont="1" applyNumberFormat="0" applyFill="1" applyBorder="1" applyAlignment="1">
      <alignment horizontal="general" vertical="center" textRotation="0" wrapText="false" shrinkToFit="false"/>
    </xf>
    <xf xfId="0" fontId="1" numFmtId="2" fillId="8" borderId="1" applyFont="1" applyNumberFormat="1" applyFill="1" applyBorder="1" applyAlignment="1">
      <alignment horizontal="right" vertical="center" textRotation="0" wrapText="false" shrinkToFit="false"/>
    </xf>
    <xf xfId="0" fontId="1" numFmtId="2" fillId="14" borderId="26" applyFont="1" applyNumberFormat="1" applyFill="1" applyBorder="1" applyAlignment="1">
      <alignment horizontal="right" vertical="center" textRotation="0" wrapText="true" shrinkToFit="false"/>
    </xf>
    <xf xfId="0" fontId="1" numFmtId="2" fillId="7" borderId="6" applyFont="1" applyNumberFormat="1" applyFill="1" applyBorder="1" applyAlignment="1">
      <alignment horizontal="right" vertical="center" textRotation="0" wrapText="true" shrinkToFit="false"/>
    </xf>
    <xf xfId="0" fontId="1" numFmtId="2" fillId="14" borderId="27" applyFont="1" applyNumberFormat="1" applyFill="1" applyBorder="1" applyAlignment="1">
      <alignment horizontal="right" vertical="center" textRotation="0" wrapText="true" shrinkToFit="false"/>
    </xf>
    <xf xfId="0" fontId="1" numFmtId="2" fillId="7" borderId="13" applyFont="1" applyNumberFormat="1" applyFill="1" applyBorder="1" applyAlignment="1">
      <alignment horizontal="right" vertical="center" textRotation="0" wrapText="true" shrinkToFit="false"/>
    </xf>
    <xf xfId="0" fontId="1" numFmtId="0" fillId="14" borderId="37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1" numFmtId="2" fillId="8" borderId="26" applyFont="1" applyNumberFormat="1" applyFill="1" applyBorder="1" applyAlignment="1">
      <alignment horizontal="right" vertical="center" textRotation="0" wrapText="false" shrinkToFit="false"/>
    </xf>
    <xf xfId="0" fontId="1" numFmtId="0" fillId="11" borderId="49" applyFont="1" applyNumberFormat="0" applyFill="1" applyBorder="1" applyAlignment="1">
      <alignment horizontal="center" vertical="center" textRotation="0" wrapText="false" shrinkToFit="false"/>
    </xf>
    <xf xfId="0" fontId="1" numFmtId="0" fillId="11" borderId="6" applyFont="1" applyNumberFormat="0" applyFill="1" applyBorder="1" applyAlignment="1">
      <alignment horizontal="general" vertical="center" textRotation="0" wrapText="false" shrinkToFit="false"/>
    </xf>
    <xf xfId="0" fontId="1" numFmtId="2" fillId="11" borderId="6" applyFont="1" applyNumberFormat="1" applyFill="1" applyBorder="1" applyAlignment="1">
      <alignment horizontal="right" vertical="center" textRotation="0" wrapText="false" shrinkToFit="false"/>
    </xf>
    <xf xfId="0" fontId="1" numFmtId="0" fillId="11" borderId="27" applyFont="1" applyNumberFormat="0" applyFill="1" applyBorder="1" applyAlignment="1">
      <alignment horizontal="right" vertical="center" textRotation="0" wrapText="false" shrinkToFit="false"/>
    </xf>
    <xf xfId="0" fontId="1" numFmtId="0" fillId="14" borderId="27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3" numFmtId="0" fillId="4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14" borderId="44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9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7" borderId="1" applyFont="1" applyNumberFormat="0" applyFill="1" applyBorder="1" applyAlignment="1">
      <alignment horizontal="general" vertical="center" textRotation="0" wrapText="false" shrinkToFit="false"/>
    </xf>
    <xf xfId="0" fontId="1" numFmtId="2" fillId="7" borderId="1" applyFont="1" applyNumberFormat="1" applyFill="1" applyBorder="1" applyAlignment="1">
      <alignment horizontal="right" vertical="center" textRotation="0" wrapText="false" shrinkToFit="false"/>
    </xf>
    <xf xfId="0" fontId="1" numFmtId="0" fillId="11" borderId="48" applyFont="1" applyNumberFormat="0" applyFill="1" applyBorder="1" applyAlignment="1">
      <alignment horizontal="center" vertical="center" textRotation="0" wrapText="false" shrinkToFit="false"/>
    </xf>
    <xf xfId="0" fontId="1" numFmtId="0" fillId="11" borderId="1" applyFont="1" applyNumberFormat="0" applyFill="1" applyBorder="1" applyAlignment="1">
      <alignment horizontal="general" vertical="center" textRotation="0" wrapText="false" shrinkToFit="false"/>
    </xf>
    <xf xfId="0" fontId="1" numFmtId="2" fillId="11" borderId="1" applyFont="1" applyNumberFormat="1" applyFill="1" applyBorder="1" applyAlignment="1">
      <alignment horizontal="right" vertical="center" textRotation="0" wrapText="false" shrinkToFit="false"/>
    </xf>
    <xf xfId="0" fontId="1" numFmtId="0" fillId="11" borderId="26" applyFont="1" applyNumberFormat="0" applyFill="1" applyBorder="1" applyAlignment="1">
      <alignment horizontal="right" vertical="center" textRotation="0" wrapText="false" shrinkToFit="false"/>
    </xf>
    <xf xfId="0" fontId="1" numFmtId="0" fillId="8" borderId="49" applyFont="1" applyNumberFormat="0" applyFill="1" applyBorder="1" applyAlignment="1">
      <alignment horizontal="center" vertical="center" textRotation="0" wrapText="false" shrinkToFit="false"/>
    </xf>
    <xf xfId="0" fontId="1" numFmtId="0" fillId="8" borderId="6" applyFont="1" applyNumberFormat="0" applyFill="1" applyBorder="1" applyAlignment="1">
      <alignment horizontal="general" vertical="center" textRotation="0" wrapText="false" shrinkToFit="false"/>
    </xf>
    <xf xfId="0" fontId="1" numFmtId="2" fillId="8" borderId="6" applyFont="1" applyNumberFormat="1" applyFill="1" applyBorder="1" applyAlignment="1">
      <alignment horizontal="right" vertical="center" textRotation="0" wrapText="false" shrinkToFit="false"/>
    </xf>
    <xf xfId="0" fontId="1" numFmtId="0" fillId="14" borderId="28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1" numFmtId="2" fillId="10" borderId="5" applyFont="1" applyNumberFormat="1" applyFill="1" applyBorder="1" applyAlignment="1">
      <alignment horizontal="right" vertical="center" textRotation="0" wrapText="true" shrinkToFit="false"/>
    </xf>
    <xf xfId="0" fontId="1" numFmtId="2" fillId="10" borderId="2" applyFont="1" applyNumberFormat="1" applyFill="1" applyBorder="1" applyAlignment="1">
      <alignment horizontal="right" vertical="center" textRotation="0" wrapText="true" shrinkToFit="false"/>
    </xf>
    <xf xfId="0" fontId="1" numFmtId="2" fillId="10" borderId="13" applyFont="1" applyNumberFormat="1" applyFill="1" applyBorder="1" applyAlignment="1">
      <alignment horizontal="right" vertical="center" textRotation="0" wrapText="true" shrinkToFit="false"/>
    </xf>
    <xf xfId="0" fontId="1" numFmtId="2" fillId="10" borderId="26" applyFont="1" applyNumberFormat="1" applyFill="1" applyBorder="1" applyAlignment="1">
      <alignment horizontal="right" vertical="center" textRotation="0" wrapText="true" shrinkToFit="false"/>
    </xf>
    <xf xfId="0" fontId="1" numFmtId="0" fillId="10" borderId="48" applyFont="1" applyNumberFormat="0" applyFill="1" applyBorder="1" applyAlignment="1">
      <alignment horizontal="center" vertical="center" textRotation="0" wrapText="false" shrinkToFit="false"/>
    </xf>
    <xf xfId="0" fontId="1" numFmtId="0" fillId="10" borderId="1" applyFont="1" applyNumberFormat="0" applyFill="1" applyBorder="1" applyAlignment="1">
      <alignment horizontal="general" vertical="center" textRotation="0" wrapText="false" shrinkToFit="false"/>
    </xf>
    <xf xfId="0" fontId="1" numFmtId="2" fillId="10" borderId="1" applyFont="1" applyNumberFormat="1" applyFill="1" applyBorder="1" applyAlignment="1">
      <alignment horizontal="right" vertical="center" textRotation="0" wrapText="false" shrinkToFit="false"/>
    </xf>
    <xf xfId="0" fontId="1" numFmtId="0" fillId="10" borderId="24" applyFont="1" applyNumberFormat="0" applyFill="1" applyBorder="1" applyAlignment="1">
      <alignment horizontal="general" vertical="center" textRotation="0" wrapText="true" shrinkToFit="false"/>
    </xf>
    <xf xfId="0" fontId="1" numFmtId="2" fillId="10" borderId="24" applyFont="1" applyNumberFormat="1" applyFill="1" applyBorder="1" applyAlignment="1">
      <alignment horizontal="right" vertical="center" textRotation="0" wrapText="true" shrinkToFit="false"/>
    </xf>
    <xf xfId="0" fontId="1" numFmtId="2" fillId="10" borderId="28" applyFont="1" applyNumberFormat="1" applyFill="1" applyBorder="1" applyAlignment="1">
      <alignment horizontal="right" vertical="center" textRotation="0" wrapText="true" shrinkToFit="false"/>
    </xf>
    <xf xfId="0" fontId="1" numFmtId="0" fillId="11" borderId="0" applyFont="1" applyNumberFormat="0" applyFill="1" applyBorder="0" applyAlignment="1">
      <alignment horizontal="general" vertical="center" textRotation="0" wrapText="false" shrinkToFit="false"/>
    </xf>
    <xf xfId="0" fontId="1" numFmtId="0" fillId="11" borderId="0" applyFont="1" applyNumberFormat="0" applyFill="1" applyBorder="0" applyAlignment="1">
      <alignment horizontal="right" vertical="center" textRotation="0" wrapText="false" shrinkToFit="false"/>
    </xf>
    <xf xfId="0" fontId="1" numFmtId="0" fillId="11" borderId="32" applyFont="1" applyNumberFormat="0" applyFill="1" applyBorder="1" applyAlignment="1">
      <alignment horizontal="right" vertical="center" textRotation="0" wrapText="false" shrinkToFit="false"/>
    </xf>
    <xf xfId="0" fontId="1" numFmtId="2" fillId="10" borderId="6" applyFont="1" applyNumberFormat="1" applyFill="1" applyBorder="1" applyAlignment="1">
      <alignment horizontal="right" vertical="center" textRotation="0" wrapText="true" shrinkToFit="false"/>
    </xf>
    <xf xfId="0" fontId="1" numFmtId="2" fillId="10" borderId="27" applyFont="1" applyNumberFormat="1" applyFill="1" applyBorder="1" applyAlignment="1">
      <alignment horizontal="right" vertical="center" textRotation="0" wrapText="true" shrinkToFit="false"/>
    </xf>
    <xf xfId="0" fontId="1" numFmtId="0" fillId="11" borderId="33" applyFont="1" applyNumberFormat="0" applyFill="1" applyBorder="1" applyAlignment="1">
      <alignment horizontal="general" vertical="center" textRotation="0" wrapText="false" shrinkToFit="false"/>
    </xf>
    <xf xfId="0" fontId="1" numFmtId="0" fillId="11" borderId="33" applyFont="1" applyNumberFormat="0" applyFill="1" applyBorder="1" applyAlignment="1">
      <alignment horizontal="right" vertical="center" textRotation="0" wrapText="false" shrinkToFit="false"/>
    </xf>
    <xf xfId="0" fontId="1" numFmtId="0" fillId="11" borderId="34" applyFont="1" applyNumberFormat="0" applyFill="1" applyBorder="1" applyAlignment="1">
      <alignment horizontal="right" vertical="center" textRotation="0" wrapText="false" shrinkToFit="false"/>
    </xf>
    <xf xfId="0" fontId="10" numFmtId="0" fillId="2" borderId="0" applyFont="1" applyNumberFormat="0" applyFill="0" applyBorder="0" applyAlignment="1">
      <alignment horizontal="left" vertical="center" textRotation="0" wrapText="false" shrinkToFit="false"/>
    </xf>
    <xf xfId="0" fontId="14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0" quotePrefix="1" numFmtId="2" fillId="2" borderId="0" applyFont="0" applyNumberFormat="1" applyFill="0" applyBorder="0" applyAlignment="1">
      <alignment horizontal="general" vertical="center" textRotation="0" wrapText="false" shrinkToFit="false"/>
    </xf>
    <xf xfId="0" fontId="1" numFmtId="0" fillId="8" borderId="55" applyFont="1" applyNumberFormat="0" applyFill="1" applyBorder="1" applyAlignment="1">
      <alignment horizontal="center" vertical="center" textRotation="0" wrapText="false" shrinkToFit="false"/>
    </xf>
    <xf xfId="0" fontId="1" numFmtId="0" fillId="8" borderId="24" applyFont="1" applyNumberFormat="0" applyFill="1" applyBorder="1" applyAlignment="1">
      <alignment horizontal="general" vertical="center" textRotation="0" wrapText="false" shrinkToFit="false"/>
    </xf>
    <xf xfId="0" fontId="1" numFmtId="2" fillId="8" borderId="24" applyFont="1" applyNumberFormat="1" applyFill="1" applyBorder="1" applyAlignment="1">
      <alignment horizontal="right" vertical="center" textRotation="0" wrapText="false" shrinkToFit="false"/>
    </xf>
    <xf xfId="0" fontId="1" numFmtId="0" fillId="14" borderId="43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1" numFmtId="0" fillId="7" borderId="1" applyFont="1" applyNumberFormat="0" applyFill="1" applyBorder="1" applyAlignment="1">
      <alignment horizontal="center" vertical="center" textRotation="0" wrapText="false" shrinkToFit="false"/>
    </xf>
    <xf xfId="0" fontId="1" numFmtId="0" fillId="7" borderId="6" applyFont="1" applyNumberFormat="0" applyFill="1" applyBorder="1" applyAlignment="1">
      <alignment horizontal="center" vertical="center" textRotation="0" wrapText="false" shrinkToFit="false"/>
    </xf>
    <xf xfId="0" fontId="1" numFmtId="0" fillId="7" borderId="6" applyFont="1" applyNumberFormat="0" applyFill="1" applyBorder="1" applyAlignment="1">
      <alignment horizontal="general" vertical="center" textRotation="0" wrapText="false" shrinkToFit="false"/>
    </xf>
    <xf xfId="0" fontId="1" numFmtId="2" fillId="7" borderId="6" applyFont="1" applyNumberFormat="1" applyFill="1" applyBorder="1" applyAlignment="1">
      <alignment horizontal="right" vertical="center" textRotation="0" wrapText="false" shrinkToFit="false"/>
    </xf>
    <xf xfId="0" fontId="1" numFmtId="0" fillId="7" borderId="1" applyFont="1" applyNumberFormat="0" applyFill="1" applyBorder="1" applyAlignment="1">
      <alignment horizontal="right" vertical="center" textRotation="0" wrapText="true" shrinkToFit="false"/>
    </xf>
    <xf xfId="0" fontId="1" numFmtId="0" fillId="7" borderId="6" applyFont="1" applyNumberFormat="0" applyFill="1" applyBorder="1" applyAlignment="1">
      <alignment horizontal="right" vertical="center" textRotation="0" wrapText="true" shrinkToFit="false"/>
    </xf>
    <xf xfId="0" fontId="1" numFmtId="49" fillId="10" borderId="54" applyFont="1" applyNumberFormat="1" applyFill="1" applyBorder="1" applyAlignment="1">
      <alignment horizontal="center" vertical="center" textRotation="0" wrapText="true" shrinkToFit="false"/>
    </xf>
    <xf xfId="0" fontId="1" numFmtId="49" fillId="10" borderId="19" applyFont="1" applyNumberFormat="1" applyFill="1" applyBorder="1" applyAlignment="1">
      <alignment horizontal="left" vertical="center" textRotation="0" wrapText="true" shrinkToFit="false"/>
    </xf>
    <xf xfId="0" fontId="1" numFmtId="0" fillId="8" borderId="56" applyFont="1" applyNumberFormat="0" applyFill="1" applyBorder="1" applyAlignment="1">
      <alignment horizontal="center" vertical="center" textRotation="0" wrapText="false" shrinkToFit="false"/>
    </xf>
    <xf xfId="0" fontId="1" numFmtId="0" fillId="8" borderId="13" applyFont="1" applyNumberFormat="0" applyFill="1" applyBorder="1" applyAlignment="1">
      <alignment horizontal="general" vertical="center" textRotation="0" wrapText="false" shrinkToFit="false"/>
    </xf>
    <xf xfId="0" fontId="1" numFmtId="2" fillId="8" borderId="13" applyFont="1" applyNumberFormat="1" applyFill="1" applyBorder="1" applyAlignment="1">
      <alignment horizontal="right" vertical="center" textRotation="0" wrapText="false" shrinkToFit="false"/>
    </xf>
    <xf xfId="0" fontId="1" numFmtId="2" fillId="8" borderId="27" applyFont="1" applyNumberFormat="1" applyFill="1" applyBorder="1" applyAlignment="1">
      <alignment horizontal="right" vertical="center" textRotation="0" wrapText="false" shrinkToFit="false"/>
    </xf>
    <xf xfId="0" fontId="1" numFmtId="0" fillId="10" borderId="19" applyFont="1" applyNumberFormat="0" applyFill="1" applyBorder="1" applyAlignment="1">
      <alignment horizontal="center" vertical="center" textRotation="0" wrapText="true" shrinkToFit="false"/>
    </xf>
    <xf xfId="0" fontId="1" numFmtId="49" fillId="10" borderId="19" applyFont="1" applyNumberFormat="1" applyFill="1" applyBorder="1" applyAlignment="1">
      <alignment horizontal="center" vertical="center" textRotation="0" wrapText="true" shrinkToFit="false"/>
    </xf>
    <xf xfId="0" fontId="1" numFmtId="2" fillId="10" borderId="19" applyFont="1" applyNumberFormat="1" applyFill="1" applyBorder="1" applyAlignment="1">
      <alignment horizontal="right" vertical="center" textRotation="0" wrapText="true" shrinkToFit="false"/>
    </xf>
    <xf xfId="0" fontId="1" numFmtId="0" fillId="7" borderId="14" applyFont="1" applyNumberFormat="0" applyFill="1" applyBorder="1" applyAlignment="1">
      <alignment horizontal="center" vertical="center" textRotation="0" wrapText="false" shrinkToFit="false"/>
    </xf>
    <xf xfId="0" fontId="1" numFmtId="0" fillId="7" borderId="14" applyFont="1" applyNumberFormat="0" applyFill="1" applyBorder="1" applyAlignment="1">
      <alignment horizontal="general" vertical="center" textRotation="0" wrapText="false" shrinkToFit="false"/>
    </xf>
    <xf xfId="0" fontId="1" numFmtId="2" fillId="7" borderId="14" applyFont="1" applyNumberFormat="1" applyFill="1" applyBorder="1" applyAlignment="1">
      <alignment horizontal="right" vertical="center" textRotation="0" wrapText="false" shrinkToFit="false"/>
    </xf>
    <xf xfId="0" fontId="0" numFmtId="2" fillId="20" borderId="38" applyFont="0" applyNumberFormat="1" applyFill="1" applyBorder="1" applyAlignment="1">
      <alignment horizontal="center" vertical="center" textRotation="0" wrapText="true" shrinkToFit="false"/>
    </xf>
    <xf xfId="0" fontId="8" numFmtId="10" fillId="7" borderId="6" applyFont="1" applyNumberFormat="1" applyFill="1" applyBorder="1" applyAlignment="1">
      <alignment horizontal="center" vertical="center" textRotation="0" wrapText="false" shrinkToFit="false"/>
    </xf>
    <xf xfId="0" fontId="8" numFmtId="10" fillId="8" borderId="5" applyFont="1" applyNumberFormat="1" applyFill="1" applyBorder="1" applyAlignment="1">
      <alignment horizontal="center" vertical="center" textRotation="0" wrapText="true" shrinkToFit="false"/>
    </xf>
    <xf xfId="0" fontId="8" numFmtId="10" fillId="8" borderId="1" applyFont="1" applyNumberFormat="1" applyFill="1" applyBorder="1" applyAlignment="1">
      <alignment horizontal="center" vertical="center" textRotation="0" wrapText="true" shrinkToFit="false"/>
    </xf>
    <xf xfId="0" fontId="3" numFmtId="49" fillId="9" borderId="51" applyFont="1" applyNumberFormat="1" applyFill="1" applyBorder="1" applyAlignment="1">
      <alignment horizontal="center" vertical="center" textRotation="0" wrapText="false" shrinkToFit="false"/>
    </xf>
    <xf xfId="0" fontId="3" numFmtId="49" fillId="9" borderId="52" applyFont="1" applyNumberFormat="1" applyFill="1" applyBorder="1" applyAlignment="1">
      <alignment horizontal="center" vertical="center" textRotation="0" wrapText="false" shrinkToFit="false"/>
    </xf>
    <xf xfId="0" fontId="3" numFmtId="49" fillId="9" borderId="53" applyFont="1" applyNumberFormat="1" applyFill="1" applyBorder="1" applyAlignment="1">
      <alignment horizontal="center" vertical="center" textRotation="0" wrapText="false" shrinkToFit="false"/>
    </xf>
    <xf xfId="0" fontId="3" numFmtId="49" fillId="7" borderId="57" applyFont="1" applyNumberFormat="1" applyFill="1" applyBorder="1" applyAlignment="1">
      <alignment horizontal="center" vertical="center" textRotation="0" wrapText="false" shrinkToFit="false"/>
    </xf>
    <xf xfId="0" fontId="3" numFmtId="49" fillId="7" borderId="11" applyFont="1" applyNumberFormat="1" applyFill="1" applyBorder="1" applyAlignment="1">
      <alignment horizontal="center" vertical="center" textRotation="0" wrapText="false" shrinkToFit="false"/>
    </xf>
    <xf xfId="0" fontId="3" numFmtId="49" fillId="7" borderId="29" applyFont="1" applyNumberFormat="1" applyFill="1" applyBorder="1" applyAlignment="1">
      <alignment horizontal="center" vertical="center" textRotation="0" wrapText="false" shrinkToFit="false"/>
    </xf>
    <xf xfId="0" fontId="3" numFmtId="49" fillId="5" borderId="51" applyFont="1" applyNumberFormat="1" applyFill="1" applyBorder="1" applyAlignment="1">
      <alignment horizontal="center" vertical="center" textRotation="0" wrapText="false" shrinkToFit="false"/>
    </xf>
    <xf xfId="0" fontId="3" numFmtId="49" fillId="5" borderId="52" applyFont="1" applyNumberFormat="1" applyFill="1" applyBorder="1" applyAlignment="1">
      <alignment horizontal="center" vertical="center" textRotation="0" wrapText="false" shrinkToFit="false"/>
    </xf>
    <xf xfId="0" fontId="3" numFmtId="49" fillId="5" borderId="58" applyFont="1" applyNumberFormat="1" applyFill="1" applyBorder="1" applyAlignment="1">
      <alignment horizontal="center" vertical="center" textRotation="0" wrapText="false" shrinkToFit="false"/>
    </xf>
    <xf xfId="0" fontId="3" numFmtId="0" fillId="5" borderId="51" applyFont="1" applyNumberFormat="0" applyFill="1" applyBorder="1" applyAlignment="1">
      <alignment horizontal="center" vertical="center" textRotation="0" wrapText="true" shrinkToFit="false"/>
    </xf>
    <xf xfId="0" fontId="3" numFmtId="0" fillId="5" borderId="52" applyFont="1" applyNumberFormat="0" applyFill="1" applyBorder="1" applyAlignment="1">
      <alignment horizontal="center" vertical="center" textRotation="0" wrapText="true" shrinkToFit="false"/>
    </xf>
    <xf xfId="0" fontId="3" numFmtId="0" fillId="5" borderId="58" applyFont="1" applyNumberFormat="0" applyFill="1" applyBorder="1" applyAlignment="1">
      <alignment horizontal="center" vertical="center" textRotation="0" wrapText="true" shrinkToFit="false"/>
    </xf>
    <xf xfId="0" fontId="3" numFmtId="0" fillId="9" borderId="21" applyFont="1" applyNumberFormat="0" applyFill="1" applyBorder="1" applyAlignment="1">
      <alignment horizontal="center" vertical="center" textRotation="0" wrapText="true" shrinkToFit="false"/>
    </xf>
    <xf xfId="0" fontId="3" numFmtId="0" fillId="9" borderId="30" applyFont="1" applyNumberFormat="0" applyFill="1" applyBorder="1" applyAlignment="1">
      <alignment horizontal="center" vertical="center" textRotation="0" wrapText="true" shrinkToFit="false"/>
    </xf>
    <xf xfId="0" fontId="3" numFmtId="0" fillId="9" borderId="31" applyFont="1" applyNumberFormat="0" applyFill="1" applyBorder="1" applyAlignment="1">
      <alignment horizontal="center" vertical="center" textRotation="0" wrapText="true" shrinkToFit="false"/>
    </xf>
    <xf xfId="0" fontId="3" numFmtId="49" fillId="7" borderId="24" applyFont="1" applyNumberFormat="1" applyFill="1" applyBorder="1" applyAlignment="1">
      <alignment horizontal="center" vertical="center" textRotation="0" wrapText="false" shrinkToFit="false"/>
    </xf>
    <xf xfId="0" fontId="3" numFmtId="49" fillId="7" borderId="19" applyFont="1" applyNumberFormat="1" applyFill="1" applyBorder="1" applyAlignment="1">
      <alignment horizontal="center" vertical="center" textRotation="0" wrapText="false" shrinkToFit="false"/>
    </xf>
    <xf xfId="0" fontId="3" numFmtId="49" fillId="7" borderId="13" applyFont="1" applyNumberFormat="1" applyFill="1" applyBorder="1" applyAlignment="1">
      <alignment horizontal="center" vertical="center" textRotation="0" wrapText="false" shrinkToFit="false"/>
    </xf>
    <xf xfId="0" fontId="3" numFmtId="49" fillId="7" borderId="46" applyFont="1" applyNumberFormat="1" applyFill="1" applyBorder="1" applyAlignment="1">
      <alignment horizontal="center" vertical="center" textRotation="0" wrapText="true" shrinkToFit="false"/>
    </xf>
    <xf xfId="0" fontId="3" numFmtId="49" fillId="7" borderId="54" applyFont="1" applyNumberFormat="1" applyFill="1" applyBorder="1" applyAlignment="1">
      <alignment horizontal="center" vertical="center" textRotation="0" wrapText="true" shrinkToFit="false"/>
    </xf>
    <xf xfId="0" fontId="3" numFmtId="49" fillId="7" borderId="50" applyFont="1" applyNumberFormat="1" applyFill="1" applyBorder="1" applyAlignment="1">
      <alignment horizontal="center" vertical="center" textRotation="0" wrapText="true" shrinkToFit="false"/>
    </xf>
    <xf xfId="0" fontId="3" numFmtId="49" fillId="10" borderId="46" applyFont="1" applyNumberFormat="1" applyFill="1" applyBorder="1" applyAlignment="1">
      <alignment horizontal="center" vertical="center" textRotation="0" wrapText="false" shrinkToFit="false"/>
    </xf>
    <xf xfId="0" fontId="3" numFmtId="49" fillId="10" borderId="54" applyFont="1" applyNumberFormat="1" applyFill="1" applyBorder="1" applyAlignment="1">
      <alignment horizontal="center" vertical="center" textRotation="0" wrapText="false" shrinkToFit="false"/>
    </xf>
    <xf xfId="0" fontId="3" numFmtId="49" fillId="10" borderId="50" applyFont="1" applyNumberFormat="1" applyFill="1" applyBorder="1" applyAlignment="1">
      <alignment horizontal="center" vertical="center" textRotation="0" wrapText="false" shrinkToFit="false"/>
    </xf>
    <xf xfId="0" fontId="3" numFmtId="0" fillId="9" borderId="51" applyFont="1" applyNumberFormat="0" applyFill="1" applyBorder="1" applyAlignment="1">
      <alignment horizontal="center" vertical="center" textRotation="0" wrapText="true" shrinkToFit="false"/>
    </xf>
    <xf xfId="0" fontId="3" numFmtId="0" fillId="9" borderId="52" applyFont="1" applyNumberFormat="0" applyFill="1" applyBorder="1" applyAlignment="1">
      <alignment horizontal="center" vertical="center" textRotation="0" wrapText="true" shrinkToFit="false"/>
    </xf>
    <xf xfId="0" fontId="3" numFmtId="0" fillId="9" borderId="58" applyFont="1" applyNumberFormat="0" applyFill="1" applyBorder="1" applyAlignment="1">
      <alignment horizontal="center" vertical="center" textRotation="0" wrapText="true" shrinkToFit="false"/>
    </xf>
    <xf xfId="0" fontId="1" numFmtId="0" fillId="23" borderId="21" applyFont="1" applyNumberFormat="0" applyFill="1" applyBorder="1" applyAlignment="1">
      <alignment horizontal="left" vertical="center" textRotation="0" wrapText="true" shrinkToFit="false"/>
    </xf>
    <xf xfId="0" fontId="1" numFmtId="0" fillId="23" borderId="41" applyFont="1" applyNumberFormat="0" applyFill="1" applyBorder="1" applyAlignment="1">
      <alignment horizontal="left" vertical="center" textRotation="0" wrapText="true" shrinkToFit="false"/>
    </xf>
    <xf xfId="0" fontId="3" numFmtId="49" fillId="7" borderId="56" applyFont="1" applyNumberFormat="1" applyFill="1" applyBorder="1" applyAlignment="1">
      <alignment horizontal="center" vertical="center" textRotation="0" wrapText="false" shrinkToFit="false"/>
    </xf>
    <xf xfId="0" fontId="3" numFmtId="49" fillId="7" borderId="48" applyFont="1" applyNumberFormat="1" applyFill="1" applyBorder="1" applyAlignment="1">
      <alignment horizontal="center" vertical="center" textRotation="0" wrapText="false" shrinkToFit="false"/>
    </xf>
    <xf xfId="0" fontId="3" numFmtId="49" fillId="7" borderId="49" applyFont="1" applyNumberFormat="1" applyFill="1" applyBorder="1" applyAlignment="1">
      <alignment horizontal="center" vertical="center" textRotation="0" wrapText="false" shrinkToFit="false"/>
    </xf>
    <xf xfId="0" fontId="3" numFmtId="49" fillId="7" borderId="47" applyFont="1" applyNumberFormat="1" applyFill="1" applyBorder="1" applyAlignment="1">
      <alignment horizontal="center" vertical="center" textRotation="0" wrapText="false" shrinkToFit="false"/>
    </xf>
    <xf xfId="0" fontId="3" numFmtId="49" fillId="7" borderId="47" applyFont="1" applyNumberFormat="1" applyFill="1" applyBorder="1" applyAlignment="1">
      <alignment horizontal="center" vertical="center" textRotation="0" wrapText="true" shrinkToFit="false"/>
    </xf>
    <xf xfId="0" fontId="3" numFmtId="49" fillId="7" borderId="48" applyFont="1" applyNumberFormat="1" applyFill="1" applyBorder="1" applyAlignment="1">
      <alignment horizontal="center" vertical="center" textRotation="0" wrapText="true" shrinkToFit="false"/>
    </xf>
    <xf xfId="0" fontId="3" numFmtId="49" fillId="7" borderId="49" applyFont="1" applyNumberFormat="1" applyFill="1" applyBorder="1" applyAlignment="1">
      <alignment horizontal="center" vertical="center" textRotation="0" wrapText="true" shrinkToFit="false"/>
    </xf>
    <xf xfId="0" fontId="11" numFmtId="0" fillId="2" borderId="0" applyFont="1" applyNumberFormat="0" applyFill="0" applyBorder="0" applyAlignment="1">
      <alignment horizontal="left" vertical="top" textRotation="0" wrapText="true" shrinkToFit="false"/>
    </xf>
    <xf xfId="0" fontId="3" numFmtId="0" fillId="9" borderId="24" applyFont="1" applyNumberFormat="0" applyFill="1" applyBorder="1" applyAlignment="1">
      <alignment horizontal="center" vertical="center" textRotation="0" wrapText="true" shrinkToFit="false"/>
    </xf>
    <xf xfId="0" fontId="24" numFmtId="0" fillId="2" borderId="13" applyFont="1" applyNumberFormat="0" applyFill="0" applyBorder="1" applyAlignment="1">
      <alignment horizontal="center" vertical="center" textRotation="0" wrapText="true" shrinkToFit="false"/>
    </xf>
    <xf xfId="0" fontId="3" numFmtId="0" fillId="9" borderId="35" applyFont="1" applyNumberFormat="0" applyFill="1" applyBorder="1" applyAlignment="1">
      <alignment horizontal="center" vertical="center" textRotation="0" wrapText="true" shrinkToFit="false"/>
    </xf>
    <xf xfId="0" fontId="25" numFmtId="0" fillId="2" borderId="59" applyFont="1" applyNumberFormat="0" applyFill="0" applyBorder="1" applyAlignment="0">
      <alignment horizontal="general" vertical="bottom" textRotation="0" wrapText="false" shrinkToFit="false"/>
    </xf>
    <xf xfId="0" fontId="25" numFmtId="0" fillId="2" borderId="20" applyFont="1" applyNumberFormat="0" applyFill="0" applyBorder="1" applyAlignment="0">
      <alignment horizontal="general" vertical="bottom" textRotation="0" wrapText="false" shrinkToFit="false"/>
    </xf>
    <xf xfId="0" fontId="13" numFmtId="2" fillId="9" borderId="35" applyFont="1" applyNumberFormat="1" applyFill="1" applyBorder="1" applyAlignment="1">
      <alignment horizontal="center" vertical="top" textRotation="0" wrapText="true" shrinkToFit="false"/>
    </xf>
    <xf xfId="0" fontId="13" numFmtId="2" fillId="9" borderId="20" applyFont="1" applyNumberFormat="1" applyFill="1" applyBorder="1" applyAlignment="1">
      <alignment horizontal="center" vertical="top" textRotation="0" wrapText="true" shrinkToFit="false"/>
    </xf>
    <xf xfId="0" fontId="3" numFmtId="49" fillId="8" borderId="47" applyFont="1" applyNumberFormat="1" applyFill="1" applyBorder="1" applyAlignment="1">
      <alignment horizontal="center" vertical="center" textRotation="0" wrapText="false" shrinkToFit="false"/>
    </xf>
    <xf xfId="0" fontId="3" numFmtId="49" fillId="8" borderId="48" applyFont="1" applyNumberFormat="1" applyFill="1" applyBorder="1" applyAlignment="1">
      <alignment horizontal="center" vertical="center" textRotation="0" wrapText="false" shrinkToFit="false"/>
    </xf>
    <xf xfId="0" fontId="3" numFmtId="49" fillId="8" borderId="49" applyFont="1" applyNumberFormat="1" applyFill="1" applyBorder="1" applyAlignment="1">
      <alignment horizontal="center" vertical="center" textRotation="0" wrapText="false" shrinkToFit="false"/>
    </xf>
    <xf xfId="0" fontId="3" numFmtId="0" fillId="8" borderId="7" applyFont="1" applyNumberFormat="0" applyFill="1" applyBorder="1" applyAlignment="1">
      <alignment horizontal="center" vertical="center" textRotation="0" wrapText="true" shrinkToFit="false"/>
    </xf>
    <xf xfId="0" fontId="3" numFmtId="0" fillId="7" borderId="7" applyFont="1" applyNumberFormat="0" applyFill="1" applyBorder="1" applyAlignment="1">
      <alignment horizontal="center" vertical="center" textRotation="0" wrapText="true" shrinkToFit="false"/>
    </xf>
    <xf xfId="0" fontId="0" numFmtId="0" fillId="19" borderId="54" applyFont="0" applyNumberFormat="0" applyFill="1" applyBorder="1" applyAlignment="1">
      <alignment horizontal="center" vertical="center" textRotation="0" wrapText="false" shrinkToFit="false"/>
    </xf>
    <xf xfId="0" fontId="0" numFmtId="0" fillId="19" borderId="50" applyFont="0" applyNumberFormat="0" applyFill="1" applyBorder="1" applyAlignment="1">
      <alignment horizontal="center" vertical="center" textRotation="0" wrapText="false" shrinkToFit="false"/>
    </xf>
    <xf xfId="0" fontId="3" numFmtId="49" fillId="8" borderId="47" applyFont="1" applyNumberFormat="1" applyFill="1" applyBorder="1" applyAlignment="1">
      <alignment horizontal="center" vertical="center" textRotation="0" wrapText="true" shrinkToFit="false"/>
    </xf>
    <xf xfId="0" fontId="3" numFmtId="49" fillId="8" borderId="49" applyFont="1" applyNumberFormat="1" applyFill="1" applyBorder="1" applyAlignment="1">
      <alignment horizontal="center" vertical="center" textRotation="0" wrapText="true" shrinkToFit="false"/>
    </xf>
    <xf xfId="0" fontId="0" numFmtId="0" fillId="17" borderId="54" applyFont="0" applyNumberFormat="0" applyFill="1" applyBorder="1" applyAlignment="1">
      <alignment horizontal="center" vertical="center" textRotation="0" wrapText="false" shrinkToFit="false"/>
    </xf>
    <xf xfId="0" fontId="0" numFmtId="0" fillId="17" borderId="50" applyFont="0" applyNumberFormat="0" applyFill="1" applyBorder="1" applyAlignment="1">
      <alignment horizontal="center" vertical="center" textRotation="0" wrapText="false" shrinkToFit="false"/>
    </xf>
    <xf xfId="0" fontId="0" numFmtId="0" fillId="5" borderId="46" applyFont="0" applyNumberFormat="0" applyFill="1" applyBorder="1" applyAlignment="1">
      <alignment horizontal="center" vertical="center" textRotation="0" wrapText="false" shrinkToFit="false"/>
    </xf>
    <xf xfId="0" fontId="0" numFmtId="0" fillId="5" borderId="54" applyFont="0" applyNumberFormat="0" applyFill="1" applyBorder="1" applyAlignment="1">
      <alignment horizontal="center" vertical="center" textRotation="0" wrapText="false" shrinkToFit="false"/>
    </xf>
    <xf xfId="0" fontId="0" numFmtId="0" fillId="5" borderId="50" applyFont="0" applyNumberFormat="0" applyFill="1" applyBorder="1" applyAlignment="1">
      <alignment horizontal="center" vertical="center" textRotation="0" wrapText="false" shrinkToFit="false"/>
    </xf>
    <xf xfId="0" fontId="0" numFmtId="0" fillId="20" borderId="46" applyFont="0" applyNumberFormat="0" applyFill="1" applyBorder="1" applyAlignment="1">
      <alignment horizontal="center" vertical="center" textRotation="0" wrapText="false" shrinkToFit="false"/>
    </xf>
    <xf xfId="0" fontId="0" numFmtId="0" fillId="20" borderId="54" applyFont="0" applyNumberFormat="0" applyFill="1" applyBorder="1" applyAlignment="1">
      <alignment horizontal="center" vertical="center" textRotation="0" wrapText="false" shrinkToFit="false"/>
    </xf>
    <xf xfId="0" fontId="0" numFmtId="0" fillId="20" borderId="50" applyFont="0" applyNumberFormat="0" applyFill="1" applyBorder="1" applyAlignment="1">
      <alignment horizontal="center" vertical="center" textRotation="0" wrapText="false" shrinkToFit="false"/>
    </xf>
    <xf xfId="0" fontId="3" numFmtId="49" fillId="3" borderId="46" applyFont="1" applyNumberFormat="1" applyFill="1" applyBorder="1" applyAlignment="1">
      <alignment horizontal="center" vertical="center" textRotation="0" wrapText="false" shrinkToFit="false"/>
    </xf>
    <xf xfId="0" fontId="3" numFmtId="49" fillId="3" borderId="50" applyFont="1" applyNumberFormat="1" applyFill="1" applyBorder="1" applyAlignment="1">
      <alignment horizontal="center" vertical="center" textRotation="0" wrapText="false" shrinkToFit="false"/>
    </xf>
    <xf xfId="0" fontId="3" numFmtId="10" fillId="9" borderId="47" applyFont="1" applyNumberFormat="1" applyFill="1" applyBorder="1" applyAlignment="1">
      <alignment horizontal="center" vertical="center" textRotation="0" wrapText="false" shrinkToFit="false"/>
    </xf>
    <xf xfId="0" fontId="3" numFmtId="10" fillId="9" borderId="9" applyFont="1" applyNumberFormat="1" applyFill="1" applyBorder="1" applyAlignment="1">
      <alignment horizontal="center" vertical="center" textRotation="0" wrapText="false" shrinkToFit="false"/>
    </xf>
    <xf xfId="0" fontId="3" numFmtId="10" fillId="9" borderId="5" applyFont="1" applyNumberFormat="1" applyFill="1" applyBorder="1" applyAlignment="1">
      <alignment horizontal="center" vertical="center" textRotation="0" wrapText="false" shrinkToFit="false"/>
    </xf>
    <xf xfId="0" fontId="3" numFmtId="10" fillId="9" borderId="3" applyFont="1" applyNumberFormat="1" applyFill="1" applyBorder="1" applyAlignment="1">
      <alignment horizontal="center" vertical="center" textRotation="0" wrapText="false" shrinkToFit="false"/>
    </xf>
    <xf xfId="0" fontId="3" numFmtId="10" fillId="9" borderId="36" applyFont="1" applyNumberFormat="1" applyFill="1" applyBorder="1" applyAlignment="1">
      <alignment horizontal="center" vertical="center" textRotation="0" wrapText="false" shrinkToFit="false"/>
    </xf>
    <xf xfId="0" fontId="22" numFmtId="10" fillId="9" borderId="4" applyFont="1" applyNumberFormat="1" applyFill="1" applyBorder="1" applyAlignment="1">
      <alignment horizontal="right" vertical="center" textRotation="0" wrapText="false" shrinkToFit="false"/>
    </xf>
    <xf xfId="0" fontId="22" numFmtId="10" fillId="9" borderId="12" applyFont="1" applyNumberFormat="1" applyFill="1" applyBorder="1" applyAlignment="1">
      <alignment horizontal="right" vertical="center" textRotation="0" wrapText="false" shrinkToFit="false"/>
    </xf>
    <xf xfId="0" fontId="22" numFmtId="10" fillId="9" borderId="17" applyFont="1" applyNumberFormat="1" applyFill="1" applyBorder="1" applyAlignment="1">
      <alignment horizontal="right" vertical="center" textRotation="0" wrapText="false" shrinkToFit="false"/>
    </xf>
    <xf xfId="0" fontId="22" numFmtId="10" fillId="9" borderId="4" applyFont="1" applyNumberFormat="1" applyFill="1" applyBorder="1" applyAlignment="1">
      <alignment horizontal="center" vertical="center" textRotation="0" wrapText="false" shrinkToFit="false"/>
    </xf>
    <xf xfId="0" fontId="22" numFmtId="10" fillId="9" borderId="17" applyFont="1" applyNumberFormat="1" applyFill="1" applyBorder="1" applyAlignment="1">
      <alignment horizontal="center" vertical="center" textRotation="0" wrapText="false" shrinkToFit="false"/>
    </xf>
    <xf xfId="0" fontId="22" numFmtId="10" fillId="9" borderId="12" applyFont="1" applyNumberFormat="1" applyFill="1" applyBorder="1" applyAlignment="1">
      <alignment horizontal="center" vertical="center" textRotation="0" wrapText="false" shrinkToFit="false"/>
    </xf>
    <xf xfId="0" fontId="23" numFmtId="0" fillId="7" borderId="35" applyFont="1" applyNumberFormat="0" applyFill="1" applyBorder="1" applyAlignment="1">
      <alignment horizontal="center" vertical="center" textRotation="0" wrapText="true" shrinkToFit="false"/>
    </xf>
    <xf xfId="0" fontId="23" numFmtId="0" fillId="7" borderId="20" applyFont="1" applyNumberFormat="0" applyFill="1" applyBorder="1" applyAlignment="1">
      <alignment horizontal="center" vertical="center" textRotation="0" wrapText="true" shrinkToFit="false"/>
    </xf>
    <xf xfId="0" fontId="23" numFmtId="0" fillId="8" borderId="35" applyFont="1" applyNumberFormat="0" applyFill="1" applyBorder="1" applyAlignment="1">
      <alignment horizontal="center" vertical="center" textRotation="0" wrapText="true" shrinkToFit="false"/>
    </xf>
    <xf xfId="0" fontId="23" numFmtId="0" fillId="8" borderId="20" applyFont="1" applyNumberFormat="0" applyFill="1" applyBorder="1" applyAlignment="1">
      <alignment horizontal="center" vertical="center" textRotation="0" wrapText="true" shrinkToFit="false"/>
    </xf>
    <xf xfId="0" fontId="3" numFmtId="0" fillId="9" borderId="8" applyFont="1" applyNumberFormat="0" applyFill="1" applyBorder="1" applyAlignment="1">
      <alignment horizontal="center" vertical="center" textRotation="0" wrapText="true" shrinkToFit="false"/>
    </xf>
    <xf xfId="0" fontId="0" numFmtId="0" fillId="2" borderId="25" applyFont="0" applyNumberFormat="0" applyFill="0" applyBorder="1" applyAlignment="1">
      <alignment horizontal="center" vertical="center" textRotation="0" wrapText="true" shrinkToFit="false"/>
    </xf>
    <xf xfId="0" fontId="1" numFmtId="0" fillId="5" borderId="47" applyFont="1" applyNumberFormat="0" applyFill="1" applyBorder="1" applyAlignment="1">
      <alignment horizontal="center" vertical="center" textRotation="0" wrapText="false" shrinkToFit="false"/>
    </xf>
    <xf xfId="0" fontId="1" numFmtId="0" fillId="5" borderId="5" applyFont="1" applyNumberFormat="0" applyFill="1" applyBorder="1" applyAlignment="1">
      <alignment horizontal="center" vertical="center" textRotation="0" wrapText="false" shrinkToFit="false"/>
    </xf>
    <xf xfId="0" fontId="1" numFmtId="0" fillId="5" borderId="56" applyFont="1" applyNumberFormat="0" applyFill="1" applyBorder="1" applyAlignment="1">
      <alignment horizontal="center" vertical="center" textRotation="0" wrapText="false" shrinkToFit="false"/>
    </xf>
    <xf xfId="0" fontId="1" numFmtId="0" fillId="5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60" applyFont="1" applyNumberFormat="0" applyFill="0" applyBorder="1" applyAlignment="1">
      <alignment horizontal="center" vertical="bottom" textRotation="0" wrapText="false" shrinkToFit="false"/>
    </xf>
    <xf xfId="0" fontId="2" numFmtId="0" fillId="2" borderId="61" applyFont="1" applyNumberFormat="0" applyFill="0" applyBorder="1" applyAlignment="1">
      <alignment horizontal="center" vertical="bottom" textRotation="0" wrapText="false" shrinkToFit="false"/>
    </xf>
    <xf xfId="0" fontId="2" numFmtId="0" fillId="2" borderId="57" applyFont="1" applyNumberFormat="0" applyFill="0" applyBorder="1" applyAlignment="1">
      <alignment horizontal="center" vertical="bottom" textRotation="0" wrapText="false" shrinkToFit="false"/>
    </xf>
    <xf xfId="0" fontId="1" numFmtId="0" fillId="5" borderId="49" applyFont="1" applyNumberFormat="0" applyFill="1" applyBorder="1" applyAlignment="1">
      <alignment horizontal="center" vertical="center" textRotation="0" wrapText="false" shrinkToFit="false"/>
    </xf>
    <xf xfId="0" fontId="1" numFmtId="0" fillId="5" borderId="6" applyFont="1" applyNumberFormat="0" applyFill="1" applyBorder="1" applyAlignment="1">
      <alignment horizontal="center" vertical="center" textRotation="0" wrapText="false" shrinkToFit="false"/>
    </xf>
    <xf xfId="0" fontId="3" numFmtId="49" fillId="8" borderId="46" applyFont="1" applyNumberFormat="1" applyFill="1" applyBorder="1" applyAlignment="1">
      <alignment horizontal="center" vertical="center" textRotation="0" wrapText="true" shrinkToFit="false"/>
    </xf>
    <xf xfId="0" fontId="3" numFmtId="49" fillId="8" borderId="50" applyFont="1" applyNumberFormat="1" applyFill="1" applyBorder="1" applyAlignment="1">
      <alignment horizontal="center" vertical="center" textRotation="0" wrapText="true" shrinkToFit="false"/>
    </xf>
    <xf xfId="0" fontId="0" numFmtId="0" fillId="18" borderId="46" applyFont="0" applyNumberFormat="0" applyFill="1" applyBorder="1" applyAlignment="1">
      <alignment horizontal="center" vertical="center" textRotation="0" wrapText="false" shrinkToFit="false"/>
    </xf>
    <xf xfId="0" fontId="0" numFmtId="0" fillId="18" borderId="54" applyFont="0" applyNumberFormat="0" applyFill="1" applyBorder="1" applyAlignment="1">
      <alignment horizontal="center" vertical="center" textRotation="0" wrapText="false" shrinkToFit="false"/>
    </xf>
    <xf xfId="0" fontId="0" numFmtId="0" fillId="18" borderId="50" applyFont="0" applyNumberFormat="0" applyFill="1" applyBorder="1" applyAlignment="1">
      <alignment horizontal="center" vertical="center" textRotation="0" wrapText="false" shrinkToFit="false"/>
    </xf>
    <xf xfId="0" fontId="1" numFmtId="0" fillId="5" borderId="62" applyFont="1" applyNumberFormat="0" applyFill="1" applyBorder="1" applyAlignment="1">
      <alignment horizontal="center" vertical="center" textRotation="0" wrapText="false" shrinkToFit="false"/>
    </xf>
    <xf xfId="0" fontId="1" numFmtId="0" fillId="5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2" numFmtId="0" fillId="2" borderId="17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.vml"/><Relationship Id="rId_comments1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.vml"/><Relationship Id="rId_comments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2"/>
  <sheetViews>
    <sheetView tabSelected="0" workbookViewId="0" zoomScale="70" zoomScaleNormal="70" showGridLines="true" showRowColHeaders="1">
      <selection activeCell="I48" sqref="I48"/>
    </sheetView>
  </sheetViews>
  <sheetFormatPr defaultRowHeight="14.4" defaultColWidth="11.42578125" outlineLevelRow="0" outlineLevelCol="0"/>
  <cols>
    <col min="1" max="1" width="18" customWidth="true" style="150"/>
    <col min="2" max="2" width="7.28515625" customWidth="true" style="159"/>
    <col min="3" max="3" width="6.7109375" customWidth="true" style="159"/>
    <col min="4" max="4" width="29.5703125" customWidth="true" style="158"/>
    <col min="5" max="5" width="10.7109375" customWidth="true" style="159"/>
    <col min="6" max="6" width="10.7109375" customWidth="true" style="159"/>
    <col min="7" max="7" width="4.85546875" customWidth="true" style="159"/>
    <col min="8" max="8" width="7.7109375" customWidth="true" style="159"/>
    <col min="9" max="9" width="29.7109375" customWidth="true" style="224"/>
    <col min="10" max="10" width="10.85546875" customWidth="true" style="224"/>
    <col min="11" max="11" width="10.85546875" customWidth="true" style="224"/>
    <col min="12" max="12" width="5" customWidth="true" style="224"/>
    <col min="13" max="13" width="11.42578125" style="224"/>
    <col min="14" max="14" width="45" customWidth="true" style="224"/>
    <col min="15" max="15" width="5.7109375" customWidth="true" style="224"/>
    <col min="16" max="16" width="11.42578125" style="224"/>
  </cols>
  <sheetData>
    <row r="1" spans="1:16" customHeight="1" ht="15.75">
      <c r="A1" s="572" t="s">
        <v>0</v>
      </c>
      <c r="B1" s="573"/>
      <c r="C1" s="573"/>
      <c r="D1" s="573"/>
      <c r="E1" s="573"/>
      <c r="F1" s="574"/>
      <c r="H1" s="575" t="s">
        <v>1</v>
      </c>
      <c r="I1" s="576"/>
      <c r="J1" s="576"/>
      <c r="K1" s="577"/>
      <c r="N1" s="578" t="s">
        <v>2</v>
      </c>
      <c r="O1" s="579"/>
      <c r="P1" s="580"/>
    </row>
    <row r="2" spans="1:16" customHeight="1" ht="24">
      <c r="A2" s="149" t="s">
        <v>3</v>
      </c>
      <c r="B2" s="141" t="s">
        <v>4</v>
      </c>
      <c r="C2" s="141" t="s">
        <v>5</v>
      </c>
      <c r="D2" s="141" t="s">
        <v>6</v>
      </c>
      <c r="E2" s="222" t="s">
        <v>7</v>
      </c>
      <c r="F2" s="223" t="s">
        <v>8</v>
      </c>
      <c r="G2" s="160"/>
      <c r="H2" s="141" t="s">
        <v>5</v>
      </c>
      <c r="I2" s="141" t="s">
        <v>6</v>
      </c>
      <c r="J2" s="222" t="s">
        <v>7</v>
      </c>
      <c r="K2" s="223" t="s">
        <v>8</v>
      </c>
      <c r="N2" s="388" t="s">
        <v>9</v>
      </c>
      <c r="O2" s="389"/>
      <c r="P2" s="398" t="str">
        <f>P4+P14+P16</f>
        <v>0</v>
      </c>
    </row>
    <row r="3" spans="1:16" customHeight="1" ht="15.75">
      <c r="A3" s="569" t="s">
        <v>10</v>
      </c>
      <c r="B3" s="163" t="s">
        <v>11</v>
      </c>
      <c r="C3" s="256"/>
      <c r="D3" s="239"/>
      <c r="E3" s="240"/>
      <c r="F3" s="257"/>
      <c r="G3" s="161"/>
      <c r="H3" s="256"/>
      <c r="I3" s="239"/>
      <c r="J3" s="240"/>
      <c r="K3" s="257"/>
      <c r="N3" s="399" t="s">
        <v>12</v>
      </c>
      <c r="O3" s="400"/>
      <c r="P3" s="401" t="str">
        <f>P2*0.9</f>
        <v>0</v>
      </c>
    </row>
    <row r="4" spans="1:16">
      <c r="A4" s="570"/>
      <c r="B4" s="163" t="s">
        <v>11</v>
      </c>
      <c r="C4" s="256"/>
      <c r="D4" s="239"/>
      <c r="E4" s="240"/>
      <c r="F4" s="257"/>
      <c r="G4" s="161"/>
      <c r="H4" s="256"/>
      <c r="I4" s="239"/>
      <c r="J4" s="240"/>
      <c r="K4" s="257"/>
      <c r="N4" s="391" t="s">
        <v>13</v>
      </c>
      <c r="O4" s="392"/>
      <c r="P4" s="3">
        <v>0</v>
      </c>
    </row>
    <row r="5" spans="1:16">
      <c r="A5" s="570"/>
      <c r="B5" s="163" t="s">
        <v>11</v>
      </c>
      <c r="C5" s="256"/>
      <c r="D5" s="239"/>
      <c r="E5" s="240"/>
      <c r="F5" s="257"/>
      <c r="G5" s="161"/>
      <c r="H5" s="256"/>
      <c r="I5" s="239"/>
      <c r="J5" s="240"/>
      <c r="K5" s="257"/>
      <c r="N5" s="393" t="s">
        <v>14</v>
      </c>
      <c r="O5" s="390"/>
      <c r="P5" s="394" t="str">
        <f>P4*90%</f>
        <v>0</v>
      </c>
    </row>
    <row r="6" spans="1:16">
      <c r="A6" s="570"/>
      <c r="B6" s="163" t="s">
        <v>11</v>
      </c>
      <c r="C6" s="163" t="s">
        <v>15</v>
      </c>
      <c r="D6" s="164" t="s">
        <v>16</v>
      </c>
      <c r="E6" s="181" t="str">
        <f>($P$4+$P$6)*('Int. Budget On-Off 1'!$D$14+'Int. Budget On-Off 1'!$D$15+'Int. Budget On-Off 1'!$D$16+'Int. Budget On-Off 1'!$D$17+'Int. Budget On-Off 1'!$D$18)</f>
        <v>0</v>
      </c>
      <c r="F6" s="259"/>
      <c r="G6" s="161"/>
      <c r="H6" s="256"/>
      <c r="I6" s="239"/>
      <c r="J6" s="240"/>
      <c r="K6" s="257"/>
      <c r="N6" s="393" t="s">
        <v>17</v>
      </c>
      <c r="O6" s="390"/>
      <c r="P6" s="394" t="str">
        <f>-P10</f>
        <v>0</v>
      </c>
    </row>
    <row r="7" spans="1:16" customHeight="1" ht="15.75">
      <c r="A7" s="570"/>
      <c r="B7" s="163" t="s">
        <v>11</v>
      </c>
      <c r="C7" s="256"/>
      <c r="D7" s="239"/>
      <c r="E7" s="240"/>
      <c r="F7" s="257"/>
      <c r="G7" s="161"/>
      <c r="H7" s="256"/>
      <c r="I7" s="239"/>
      <c r="J7" s="240"/>
      <c r="K7" s="257"/>
      <c r="N7" s="395" t="s">
        <v>18</v>
      </c>
      <c r="O7" s="396"/>
      <c r="P7" s="229" t="str">
        <f>P5+P6</f>
        <v>0</v>
      </c>
    </row>
    <row r="8" spans="1:16">
      <c r="A8" s="570"/>
      <c r="B8" s="163" t="s">
        <v>11</v>
      </c>
      <c r="C8" s="163" t="s">
        <v>19</v>
      </c>
      <c r="D8" s="164" t="s">
        <v>20</v>
      </c>
      <c r="E8" s="181" t="str">
        <f>($P$4+$P$6)*'Int. Budget On-Off 1'!$D$19</f>
        <v>0</v>
      </c>
      <c r="F8" s="259"/>
      <c r="G8" s="161"/>
      <c r="H8" s="256"/>
      <c r="I8" s="239"/>
      <c r="J8" s="240"/>
      <c r="K8" s="257"/>
    </row>
    <row r="9" spans="1:16">
      <c r="A9" s="570"/>
      <c r="B9" s="163" t="s">
        <v>11</v>
      </c>
      <c r="C9" s="256"/>
      <c r="D9" s="239"/>
      <c r="E9" s="240"/>
      <c r="F9" s="257"/>
      <c r="G9" s="161"/>
      <c r="H9" s="256"/>
      <c r="I9" s="239"/>
      <c r="J9" s="240"/>
      <c r="K9" s="257"/>
    </row>
    <row r="10" spans="1:16">
      <c r="A10" s="570"/>
      <c r="B10" s="163" t="s">
        <v>11</v>
      </c>
      <c r="C10" s="256"/>
      <c r="D10" s="239"/>
      <c r="E10" s="240"/>
      <c r="F10" s="257"/>
      <c r="G10" s="161"/>
      <c r="H10" s="256"/>
      <c r="I10" s="239"/>
      <c r="J10" s="240"/>
      <c r="K10" s="257"/>
      <c r="N10" s="267" t="s">
        <v>21</v>
      </c>
      <c r="O10" s="220"/>
      <c r="P10" s="255">
        <v>0</v>
      </c>
    </row>
    <row r="11" spans="1:16">
      <c r="A11" s="570"/>
      <c r="B11" s="163" t="s">
        <v>11</v>
      </c>
      <c r="C11" s="163" t="s">
        <v>22</v>
      </c>
      <c r="D11" s="164" t="s">
        <v>23</v>
      </c>
      <c r="E11" s="181" t="str">
        <f>($P$4+$P$6)*('Int. Budget On-Off 1'!$D$23+'Int. Budget On-Off 1'!$D$24+'Int. Budget On-Off 1'!$D$26)</f>
        <v>0</v>
      </c>
      <c r="F11" s="259"/>
      <c r="G11" s="161"/>
      <c r="H11" s="256"/>
      <c r="I11" s="239"/>
      <c r="J11" s="240"/>
      <c r="K11" s="257"/>
      <c r="N11" s="268"/>
      <c r="O11" s="269"/>
      <c r="P11" s="258"/>
    </row>
    <row r="12" spans="1:16">
      <c r="A12" s="570"/>
      <c r="B12" s="163" t="s">
        <v>11</v>
      </c>
      <c r="C12" s="256"/>
      <c r="D12" s="239"/>
      <c r="E12" s="240"/>
      <c r="F12" s="257"/>
      <c r="G12" s="161"/>
      <c r="H12" s="256"/>
      <c r="I12" s="239"/>
      <c r="J12" s="240"/>
      <c r="K12" s="257"/>
    </row>
    <row r="13" spans="1:16">
      <c r="A13" s="571"/>
      <c r="B13" s="163" t="s">
        <v>11</v>
      </c>
      <c r="C13" s="163" t="s">
        <v>24</v>
      </c>
      <c r="D13" s="164" t="s">
        <v>25</v>
      </c>
      <c r="E13" s="181" t="str">
        <f>($P$4+$P$6)*'Int. Budget On-Off 1'!$D$25</f>
        <v>0</v>
      </c>
      <c r="F13" s="259"/>
      <c r="G13" s="161"/>
      <c r="H13" s="256"/>
      <c r="I13" s="239"/>
      <c r="J13" s="240"/>
      <c r="K13" s="257"/>
      <c r="M13" s="241"/>
    </row>
    <row r="14" spans="1:16">
      <c r="A14" s="581" t="s">
        <v>26</v>
      </c>
      <c r="B14" s="163" t="s">
        <v>11</v>
      </c>
      <c r="C14" s="256"/>
      <c r="D14" s="239"/>
      <c r="E14" s="240"/>
      <c r="F14" s="257"/>
      <c r="G14" s="161"/>
      <c r="H14" s="256"/>
      <c r="I14" s="239"/>
      <c r="J14" s="240"/>
      <c r="K14" s="257"/>
      <c r="N14" s="267" t="s">
        <v>27</v>
      </c>
      <c r="O14" s="220"/>
      <c r="P14" s="255">
        <v>0</v>
      </c>
    </row>
    <row r="15" spans="1:16">
      <c r="A15" s="582"/>
      <c r="B15" s="163" t="s">
        <v>11</v>
      </c>
      <c r="C15" s="163" t="s">
        <v>28</v>
      </c>
      <c r="D15" s="164" t="s">
        <v>29</v>
      </c>
      <c r="E15" s="181" t="str">
        <f>($P$4+$P$6)*('Int. Budget On-Off 1'!$D$22+'Int. Budget On-Off 1'!$D$21)</f>
        <v>0</v>
      </c>
      <c r="F15" s="238" t="str">
        <f>'Development effort'!F24</f>
        <v>0</v>
      </c>
      <c r="G15" s="161"/>
      <c r="H15" s="256"/>
      <c r="I15" s="239"/>
      <c r="J15" s="240"/>
      <c r="K15" s="257"/>
    </row>
    <row r="16" spans="1:16">
      <c r="A16" s="583"/>
      <c r="B16" s="163" t="s">
        <v>11</v>
      </c>
      <c r="C16" s="256"/>
      <c r="D16" s="239"/>
      <c r="E16" s="240"/>
      <c r="F16" s="257"/>
      <c r="G16" s="161"/>
      <c r="H16" s="256"/>
      <c r="I16" s="239"/>
      <c r="J16" s="240"/>
      <c r="K16" s="257"/>
      <c r="N16" s="267" t="s">
        <v>30</v>
      </c>
      <c r="O16" s="220"/>
      <c r="P16" s="255">
        <v>0</v>
      </c>
    </row>
    <row r="17" spans="1:16">
      <c r="A17" s="581" t="s">
        <v>31</v>
      </c>
      <c r="B17" s="163" t="s">
        <v>11</v>
      </c>
      <c r="C17" s="163" t="s">
        <v>32</v>
      </c>
      <c r="D17" s="164" t="s">
        <v>33</v>
      </c>
      <c r="E17" s="181" t="str">
        <f>(($P$4+$P$6)*'Int. Budget On-Off 1'!$D$27+P$14*0.9*0.9)*70%</f>
        <v>0</v>
      </c>
      <c r="F17" s="259"/>
      <c r="G17" s="161"/>
      <c r="H17" s="256"/>
      <c r="I17" s="239"/>
      <c r="J17" s="240"/>
      <c r="K17" s="257"/>
    </row>
    <row r="18" spans="1:16">
      <c r="A18" s="582"/>
      <c r="B18" s="163" t="s">
        <v>11</v>
      </c>
      <c r="C18" s="256"/>
      <c r="D18" s="239"/>
      <c r="E18" s="240"/>
      <c r="F18" s="257"/>
      <c r="G18" s="161"/>
      <c r="H18" s="256"/>
      <c r="I18" s="239"/>
      <c r="J18" s="240"/>
      <c r="K18" s="257"/>
    </row>
    <row r="19" spans="1:16">
      <c r="A19" s="583"/>
      <c r="B19" s="163" t="s">
        <v>11</v>
      </c>
      <c r="C19" s="163" t="s">
        <v>34</v>
      </c>
      <c r="D19" s="164" t="s">
        <v>35</v>
      </c>
      <c r="E19" s="181" t="str">
        <f>(($P$4+$P$6)*'Int. Budget On-Off 1'!$D$27+P$14*0.9*0.9)*30%</f>
        <v>0</v>
      </c>
      <c r="F19" s="259"/>
      <c r="G19" s="161"/>
      <c r="H19" s="256"/>
      <c r="I19" s="239"/>
      <c r="J19" s="240"/>
      <c r="K19" s="257"/>
    </row>
    <row r="20" spans="1:16">
      <c r="A20" s="221" t="s">
        <v>36</v>
      </c>
      <c r="B20" s="163" t="s">
        <v>11</v>
      </c>
      <c r="C20" s="163" t="s">
        <v>37</v>
      </c>
      <c r="D20" s="164" t="s">
        <v>38</v>
      </c>
      <c r="E20" s="181" t="str">
        <f>($P$4+$P$6)*'Int. Budget On-Off 1'!$D$30</f>
        <v>0</v>
      </c>
      <c r="F20" s="238" t="str">
        <f>'Development effort'!E23</f>
        <v>0</v>
      </c>
      <c r="G20" s="161"/>
      <c r="H20" s="256"/>
      <c r="I20" s="239"/>
      <c r="J20" s="240"/>
      <c r="K20" s="257"/>
    </row>
    <row r="21" spans="1:16" customHeight="1" ht="15.75">
      <c r="A21" s="219" t="s">
        <v>39</v>
      </c>
      <c r="B21" s="262" t="s">
        <v>11</v>
      </c>
      <c r="C21" s="263" t="s">
        <v>40</v>
      </c>
      <c r="D21" s="264" t="s">
        <v>41</v>
      </c>
      <c r="E21" s="265" t="str">
        <f>($P$4+$P$6)*'Int. Budget On-Off 1'!$D$35</f>
        <v>0</v>
      </c>
      <c r="F21" s="266"/>
      <c r="G21" s="161"/>
      <c r="H21" s="256"/>
      <c r="I21" s="239"/>
      <c r="J21" s="240"/>
      <c r="K21" s="257"/>
    </row>
    <row r="22" spans="1:16" customHeight="1" ht="22.5">
      <c r="A22" s="172" t="s">
        <v>42</v>
      </c>
      <c r="B22" s="173" t="s">
        <v>11</v>
      </c>
      <c r="C22" s="174" t="s">
        <v>43</v>
      </c>
      <c r="D22" s="175" t="s">
        <v>44</v>
      </c>
      <c r="E22" s="182" t="str">
        <f>-$P$6*0.9</f>
        <v>0</v>
      </c>
      <c r="F22" s="252"/>
      <c r="G22" s="161"/>
      <c r="H22" s="256"/>
      <c r="I22" s="239"/>
      <c r="J22" s="240"/>
      <c r="K22" s="257"/>
    </row>
    <row r="23" spans="1:16">
      <c r="A23" s="584" t="s">
        <v>45</v>
      </c>
      <c r="B23" s="168" t="s">
        <v>11</v>
      </c>
      <c r="C23" s="168" t="s">
        <v>46</v>
      </c>
      <c r="D23" s="169" t="s">
        <v>47</v>
      </c>
      <c r="E23" s="183" t="str">
        <f>(($P$4+$P$6)*'Int. Budget On-Off 1'!$D$29+P$16*0.9*0.9)*50%</f>
        <v>0</v>
      </c>
      <c r="F23" s="253"/>
      <c r="G23" s="161"/>
      <c r="H23" s="256"/>
      <c r="I23" s="239"/>
      <c r="J23" s="240"/>
      <c r="K23" s="257"/>
    </row>
    <row r="24" spans="1:16">
      <c r="A24" s="585"/>
      <c r="B24" s="163" t="s">
        <v>11</v>
      </c>
      <c r="C24" s="256"/>
      <c r="D24" s="239"/>
      <c r="E24" s="240"/>
      <c r="F24" s="257"/>
      <c r="G24" s="161"/>
      <c r="H24" s="256"/>
      <c r="I24" s="239"/>
      <c r="J24" s="240"/>
      <c r="K24" s="257"/>
    </row>
    <row r="25" spans="1:16">
      <c r="A25" s="585"/>
      <c r="B25" s="163" t="s">
        <v>11</v>
      </c>
      <c r="C25" s="163" t="s">
        <v>48</v>
      </c>
      <c r="D25" s="164" t="s">
        <v>49</v>
      </c>
      <c r="E25" s="181" t="str">
        <f>(($P$4+$P$6)*'Int. Budget On-Off 1'!$D$29+P$16*0.9*0.9)*50%</f>
        <v>0</v>
      </c>
      <c r="F25" s="251"/>
      <c r="G25" s="161"/>
      <c r="H25" s="256"/>
      <c r="I25" s="239"/>
      <c r="J25" s="240"/>
      <c r="K25" s="257"/>
    </row>
    <row r="26" spans="1:16" customHeight="1" ht="15.75">
      <c r="A26" s="586"/>
      <c r="B26" s="170" t="s">
        <v>11</v>
      </c>
      <c r="C26" s="170" t="s">
        <v>50</v>
      </c>
      <c r="D26" s="171" t="s">
        <v>51</v>
      </c>
      <c r="E26" s="184"/>
      <c r="F26" s="254"/>
      <c r="G26" s="161"/>
      <c r="H26" s="256"/>
      <c r="I26" s="239"/>
      <c r="J26" s="240"/>
      <c r="K26" s="257"/>
    </row>
    <row r="27" spans="1:16" customHeight="1" ht="15.75">
      <c r="A27" s="176"/>
      <c r="B27" s="177"/>
      <c r="C27" s="256"/>
      <c r="D27" s="239"/>
      <c r="E27" s="240"/>
      <c r="F27" s="257"/>
      <c r="G27" s="161"/>
      <c r="H27" s="256"/>
      <c r="I27" s="239"/>
      <c r="J27" s="240"/>
      <c r="K27" s="257"/>
    </row>
    <row r="28" spans="1:16">
      <c r="A28" s="587" t="s">
        <v>52</v>
      </c>
      <c r="B28" s="193" t="s">
        <v>53</v>
      </c>
      <c r="C28" s="193"/>
      <c r="D28" s="194" t="s">
        <v>54</v>
      </c>
      <c r="E28" s="195" t="str">
        <f>($P$4+$P$6)*('Int. Budget On-Off 1'!$D$31+'Int. Budget On-Off 1'!$D$32+'Int. Budget On-Off 1'!$D$33)*26%</f>
        <v>0</v>
      </c>
      <c r="F28" s="196" t="str">
        <f>E28</f>
        <v>0</v>
      </c>
      <c r="G28" s="161"/>
      <c r="H28" s="186"/>
      <c r="I28" s="242"/>
      <c r="J28" s="243"/>
      <c r="K28" s="244"/>
    </row>
    <row r="29" spans="1:16">
      <c r="A29" s="588"/>
      <c r="B29" s="165" t="s">
        <v>53</v>
      </c>
      <c r="C29" s="165"/>
      <c r="D29" s="166" t="s">
        <v>55</v>
      </c>
      <c r="E29" s="185" t="str">
        <f>($P$4+$P$6)*('Int. Budget On-Off 1'!$D$31+'Int. Budget On-Off 1'!$D$32+'Int. Budget On-Off 1'!$D$33)*51.5%+(P$14+P$16)*0.9*0.1</f>
        <v>0</v>
      </c>
      <c r="F29" s="197" t="str">
        <f>E29</f>
        <v>0</v>
      </c>
      <c r="G29" s="161"/>
      <c r="H29" s="187"/>
      <c r="I29" s="245"/>
      <c r="J29" s="246"/>
      <c r="K29" s="247"/>
    </row>
    <row r="30" spans="1:16">
      <c r="A30" s="588"/>
      <c r="B30" s="165" t="s">
        <v>53</v>
      </c>
      <c r="C30" s="256"/>
      <c r="D30" s="239"/>
      <c r="E30" s="240"/>
      <c r="F30" s="257"/>
      <c r="G30" s="161"/>
      <c r="H30" s="187"/>
      <c r="I30" s="245"/>
      <c r="J30" s="246"/>
      <c r="K30" s="247"/>
    </row>
    <row r="31" spans="1:16">
      <c r="A31" s="588"/>
      <c r="B31" s="165" t="s">
        <v>53</v>
      </c>
      <c r="C31" s="165"/>
      <c r="D31" s="167" t="s">
        <v>56</v>
      </c>
      <c r="E31" s="185" t="str">
        <f>($P$4+$P$6)*'Int. Budget On-Off 1'!$D$34</f>
        <v>0</v>
      </c>
      <c r="F31" s="197" t="str">
        <f>E31</f>
        <v>0</v>
      </c>
      <c r="G31" s="161"/>
      <c r="H31" s="187"/>
      <c r="I31" s="245"/>
      <c r="J31" s="246"/>
      <c r="K31" s="247"/>
    </row>
    <row r="32" spans="1:16">
      <c r="A32" s="588"/>
      <c r="B32" s="165" t="s">
        <v>53</v>
      </c>
      <c r="C32" s="189"/>
      <c r="D32" s="202" t="s">
        <v>57</v>
      </c>
      <c r="E32" s="190" t="str">
        <f>($P$4+$P$6)*'Int. Budget On-Off 1'!$D$37</f>
        <v>0</v>
      </c>
      <c r="F32" s="203" t="str">
        <f>E32</f>
        <v>0</v>
      </c>
      <c r="G32" s="161"/>
      <c r="H32" s="187"/>
      <c r="I32" s="245"/>
      <c r="J32" s="246"/>
      <c r="K32" s="247"/>
    </row>
    <row r="33" spans="1:16" customHeight="1" ht="15.75">
      <c r="A33" s="589"/>
      <c r="B33" s="198" t="s">
        <v>53</v>
      </c>
      <c r="C33" s="198"/>
      <c r="D33" s="199" t="s">
        <v>58</v>
      </c>
      <c r="E33" s="200" t="str">
        <f>($P$4+$P$6)*('Int. Budget On-Off 1'!$D$31+'Int. Budget On-Off 1'!$D$32+'Int. Budget On-Off 1'!$D$33)*22.5%</f>
        <v>0</v>
      </c>
      <c r="F33" s="201" t="str">
        <f>E33</f>
        <v>0</v>
      </c>
      <c r="G33" s="161"/>
      <c r="H33" s="188"/>
      <c r="I33" s="248"/>
      <c r="J33" s="249"/>
      <c r="K33" s="250"/>
    </row>
    <row r="34" spans="1:16" customHeight="1" ht="15.75">
      <c r="A34" s="51"/>
      <c r="B34" s="52"/>
      <c r="C34" s="52"/>
      <c r="D34" s="52" t="s">
        <v>59</v>
      </c>
      <c r="E34" s="191" t="str">
        <f>SUM(E3:E33)</f>
        <v>0</v>
      </c>
      <c r="F34" s="192" t="str">
        <f>SUM(F3:F33)</f>
        <v>0</v>
      </c>
      <c r="G34" s="162"/>
      <c r="H34" s="218"/>
      <c r="I34" s="52" t="s">
        <v>59</v>
      </c>
      <c r="J34" s="215" t="str">
        <f>SUM(J3:J33)</f>
        <v>0</v>
      </c>
      <c r="K34" s="216" t="str">
        <f>SUM(K3:K33)</f>
        <v>0</v>
      </c>
    </row>
    <row r="35" spans="1:16">
      <c r="A35" s="152"/>
      <c r="B35" s="154"/>
      <c r="C35" s="151"/>
      <c r="D35" s="178" t="s">
        <v>60</v>
      </c>
      <c r="E35" s="179" t="str">
        <f>SUM(E28:E33)</f>
        <v>0</v>
      </c>
      <c r="F35" s="154"/>
      <c r="G35" s="154"/>
      <c r="H35" s="151"/>
    </row>
    <row r="36" spans="1:16">
      <c r="A36" s="155"/>
      <c r="B36" s="155"/>
      <c r="D36" s="178"/>
      <c r="E36" s="372"/>
      <c r="F36" s="180"/>
      <c r="G36" s="155"/>
    </row>
    <row r="37" spans="1:16" customHeight="1" ht="15.75">
      <c r="A37" s="155"/>
      <c r="B37" s="155"/>
      <c r="E37" s="155"/>
      <c r="F37" s="155"/>
      <c r="G37" s="155"/>
    </row>
    <row r="38" spans="1:16" customHeight="1" ht="15.75">
      <c r="A38" s="566" t="s">
        <v>61</v>
      </c>
      <c r="B38" s="567"/>
      <c r="C38" s="567"/>
      <c r="D38" s="568"/>
      <c r="E38" s="191" t="str">
        <f>E34+J34</f>
        <v>0</v>
      </c>
      <c r="F38" s="192" t="str">
        <f>F34+K34</f>
        <v>0</v>
      </c>
      <c r="G38" s="155"/>
    </row>
    <row r="39" spans="1:16">
      <c r="A39" s="155"/>
      <c r="B39" s="155"/>
      <c r="D39" s="204" t="s">
        <v>62</v>
      </c>
      <c r="E39" s="179" t="str">
        <f>P3</f>
        <v>0</v>
      </c>
      <c r="F39" s="155"/>
      <c r="G39" s="155"/>
    </row>
    <row r="40" spans="1:16">
      <c r="A40" s="155"/>
      <c r="B40" s="155"/>
      <c r="D40" s="155"/>
      <c r="E40" s="155"/>
      <c r="F40" s="155"/>
      <c r="G40" s="155"/>
    </row>
    <row r="41" spans="1:16">
      <c r="A41" s="156"/>
      <c r="B41" s="156"/>
      <c r="C41" s="217"/>
      <c r="D41" s="156"/>
      <c r="E41" s="156"/>
      <c r="F41" s="156"/>
      <c r="G41" s="156"/>
      <c r="H41" s="217"/>
    </row>
    <row r="42" spans="1:16">
      <c r="A42" s="157"/>
      <c r="B42" s="154"/>
      <c r="C42" s="151"/>
      <c r="D42" s="153"/>
      <c r="E42" s="154"/>
      <c r="F42" s="154"/>
      <c r="G42" s="154"/>
      <c r="H42" s="1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D38"/>
    <mergeCell ref="A3:A13"/>
    <mergeCell ref="A1:F1"/>
    <mergeCell ref="H1:K1"/>
    <mergeCell ref="N1:P1"/>
    <mergeCell ref="A14:A16"/>
    <mergeCell ref="A17:A19"/>
    <mergeCell ref="A23:A26"/>
    <mergeCell ref="A28:A33"/>
  </mergeCells>
  <dataValidations count="3">
    <dataValidation type="decimal" operator="greaterThanOrEqual" allowBlank="1" showDropDown="0" showInputMessage="1" showErrorMessage="1" error="Positive number only" sqref="P10">
      <formula1>0</formula1>
    </dataValidation>
    <dataValidation type="decimal" operator="greaterThanOrEqual" allowBlank="1" showDropDown="0" showInputMessage="1" showErrorMessage="1" error="Positive number only" sqref="P14">
      <formula1>0</formula1>
    </dataValidation>
    <dataValidation type="decimal" operator="greaterThanOrEqual" allowBlank="1" showDropDown="0" showInputMessage="1" showErrorMessage="1" error="Positive number only" sqref="P16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8"/>
  <sheetViews>
    <sheetView tabSelected="1" workbookViewId="0" zoomScale="85" zoomScaleNormal="85" showGridLines="true" showRowColHeaders="1">
      <selection activeCell="R18" sqref="R18"/>
    </sheetView>
  </sheetViews>
  <sheetFormatPr defaultRowHeight="14.4" defaultColWidth="11.42578125" outlineLevelRow="0" outlineLevelCol="0"/>
  <cols>
    <col min="1" max="1" width="18" customWidth="true" style="150"/>
    <col min="2" max="2" width="7.28515625" customWidth="true" style="159"/>
    <col min="3" max="3" width="6.7109375" customWidth="true" style="159"/>
    <col min="4" max="4" width="38.85546875" customWidth="true" style="158"/>
    <col min="5" max="5" width="11.5703125" customWidth="true" style="158"/>
    <col min="6" max="6" width="10" customWidth="true" style="159"/>
    <col min="7" max="7" width="10.7109375" customWidth="true" style="159"/>
    <col min="8" max="8" width="2.85546875" customWidth="true" style="159"/>
    <col min="9" max="9" width="7.7109375" customWidth="true" style="159"/>
    <col min="10" max="10" width="32.42578125" customWidth="true" style="224"/>
    <col min="11" max="11" width="10.7109375" customWidth="true" style="224"/>
    <col min="12" max="12" width="10.7109375" customWidth="true" style="224"/>
    <col min="13" max="13" width="10.85546875" customWidth="true" style="224"/>
    <col min="14" max="14" width="5" customWidth="true" style="224"/>
    <col min="15" max="15" width="5.42578125" customWidth="true" style="224"/>
    <col min="16" max="16" width="42.7109375" customWidth="true" style="224"/>
    <col min="17" max="17" width="5.7109375" customWidth="true" style="224"/>
    <col min="18" max="18" width="9.5703125" customWidth="true" style="224"/>
    <col min="19" max="19" width="11.42578125" style="224"/>
  </cols>
  <sheetData>
    <row r="1" spans="1:19" customHeight="1" ht="15.75"/>
    <row r="2" spans="1:19" customHeight="1" ht="15.75">
      <c r="A2" s="572" t="s">
        <v>0</v>
      </c>
      <c r="B2" s="573"/>
      <c r="C2" s="573"/>
      <c r="D2" s="573"/>
      <c r="E2" s="573"/>
      <c r="F2" s="573"/>
      <c r="G2" s="574"/>
      <c r="I2" s="575" t="s">
        <v>1</v>
      </c>
      <c r="J2" s="576"/>
      <c r="K2" s="576"/>
      <c r="L2" s="576"/>
      <c r="M2" s="577"/>
      <c r="P2" s="590" t="s">
        <v>2</v>
      </c>
      <c r="Q2" s="591"/>
      <c r="R2" s="592"/>
    </row>
    <row r="3" spans="1:19" customHeight="1" ht="59.25">
      <c r="A3" s="358" t="s">
        <v>3</v>
      </c>
      <c r="B3" s="359" t="s">
        <v>4</v>
      </c>
      <c r="C3" s="359" t="s">
        <v>5</v>
      </c>
      <c r="D3" s="359" t="s">
        <v>6</v>
      </c>
      <c r="E3" s="359" t="s">
        <v>63</v>
      </c>
      <c r="F3" s="359" t="s">
        <v>7</v>
      </c>
      <c r="G3" s="360" t="s">
        <v>8</v>
      </c>
      <c r="H3" s="160"/>
      <c r="I3" s="371" t="s">
        <v>5</v>
      </c>
      <c r="J3" s="359" t="s">
        <v>6</v>
      </c>
      <c r="K3" s="359" t="s">
        <v>63</v>
      </c>
      <c r="L3" s="359" t="s">
        <v>7</v>
      </c>
      <c r="M3" s="360" t="s">
        <v>8</v>
      </c>
      <c r="N3" s="483"/>
      <c r="O3" s="483"/>
      <c r="P3" s="593" t="s">
        <v>64</v>
      </c>
      <c r="Q3" s="594"/>
      <c r="R3" s="397">
        <v>1</v>
      </c>
    </row>
    <row r="4" spans="1:19">
      <c r="A4" s="598" t="s">
        <v>10</v>
      </c>
      <c r="B4" s="168" t="s">
        <v>11</v>
      </c>
      <c r="C4" s="168" t="s">
        <v>65</v>
      </c>
      <c r="D4" s="169" t="s">
        <v>66</v>
      </c>
      <c r="E4" s="484" t="str">
        <f>IF($R$3=1,INDEX('Int. Budget On-Off 1'!$AC$12:$AF$34,MATCH('Indian Project'!$C4,'Int. Budget On-Off 1'!$AC$12:$AC$34,0),3),IF($R$3=2,INDEX('Int. Budget On-Off 2'!$AC$12:$AF$34,MATCH('Indian Project'!$C4,'Int. Budget On-Off 2'!$AC$12:$AC$34,0),3),IF($R$3=3,INDEX('Int. Budget On-Off 3'!$AC$12:$AF$34,MATCH('Indian Project'!$C4,'Int. Budget On-Off 3'!$AC$12:$AC$34,0),3))))</f>
        <v>0</v>
      </c>
      <c r="F4" s="484" t="str">
        <f>IF($R$3=1,INDEX('Int. Budget On-Off 1'!$AC$12:$AF$34,MATCH('Indian Project'!$C4,'Int. Budget On-Off 1'!$AC$12:$AC$34,0),4),IF($R$3=2,INDEX('Int. Budget On-Off 2'!$AC$12:$AF$34,MATCH('Indian Project'!$C4,'Int. Budget On-Off 2'!$AC$12:$AC$34,0),4),IF($R$3=3,INDEX('Int. Budget On-Off 3'!$AC$12:$AF$34,MATCH('Indian Project'!$C4,'Int. Budget On-Off 3'!$AC$12:$AC$34,0),4))))</f>
        <v>0</v>
      </c>
      <c r="G4" s="485"/>
      <c r="H4" s="161"/>
      <c r="I4" s="486" t="s">
        <v>67</v>
      </c>
      <c r="J4" s="487" t="s">
        <v>68</v>
      </c>
      <c r="K4" s="488" t="str">
        <f>IF($R$3=1,INDEX('Int. Budget On-Off 1'!$AG$12:$AJ$34,MATCH('Indian Project'!$I4,'Int. Budget On-Off 1'!$AG$12:$AG$34,0),3),IF($R$3=2,INDEX('Int. Budget On-Off 2'!$AG$12:$AJ$34,MATCH('Indian Project'!$I4,'Int. Budget On-Off 2'!$AG$12:$AG$34,0),3),IF($R$3=3,INDEX('Int. Budget On-Off 3'!$AG$12:$AJ$34,MATCH('Indian Project'!$I4,'Int. Budget On-Off 3'!$AG$12:$AG$34,0),3))))</f>
        <v>0</v>
      </c>
      <c r="L4" s="488" t="str">
        <f>IF($R$3=1,INDEX('Int. Budget On-Off 1'!$AG$12:$AJ$34,MATCH('Indian Project'!$I4,'Int. Budget On-Off 1'!$AG$12:$AG$34,0),4),IF($R$3=2,INDEX('Int. Budget On-Off 2'!$AG$12:$AJ$34,MATCH('Indian Project'!$I4,'Int. Budget On-Off 2'!$AG$12:$AG$34,0),4),IF($R$3=3,INDEX('Int. Budget On-Off 3'!$AG$12:$AJ$34,MATCH('Indian Project'!$I4,'Int. Budget On-Off 3'!$AG$12:$AG$34,0),4))))</f>
        <v>0</v>
      </c>
      <c r="M4" s="485"/>
      <c r="N4" s="483"/>
      <c r="O4" s="483"/>
      <c r="P4" s="473" t="s">
        <v>9</v>
      </c>
      <c r="Q4" s="474"/>
      <c r="R4" s="398" t="str">
        <f>R6+R16+R18</f>
        <v>0</v>
      </c>
    </row>
    <row r="5" spans="1:19" customHeight="1" ht="15.75">
      <c r="A5" s="596"/>
      <c r="B5" s="163" t="s">
        <v>11</v>
      </c>
      <c r="C5" s="163" t="s">
        <v>69</v>
      </c>
      <c r="D5" s="164" t="s">
        <v>70</v>
      </c>
      <c r="E5" s="489" t="str">
        <f>IF($R$3=1,INDEX('Int. Budget On-Off 1'!$AC$12:$AF$34,MATCH('Indian Project'!$C5,'Int. Budget On-Off 1'!$AC$12:$AC$34,0),3),IF($R$3=2,INDEX('Int. Budget On-Off 2'!$AC$12:$AF$34,MATCH('Indian Project'!$C5,'Int. Budget On-Off 2'!$AC$12:$AC$34,0),3),IF($R$3=3,INDEX('Int. Budget On-Off 3'!$AC$12:$AF$34,MATCH('Indian Project'!$C5,'Int. Budget On-Off 3'!$AC$12:$AC$34,0),3))))</f>
        <v>0</v>
      </c>
      <c r="F5" s="489" t="str">
        <f>IF($R$3=1,INDEX('Int. Budget On-Off 1'!$AC$12:$AF$34,MATCH('Indian Project'!$C5,'Int. Budget On-Off 1'!$AC$12:$AC$34,0),4),IF($R$3=2,INDEX('Int. Budget On-Off 2'!$AC$12:$AF$34,MATCH('Indian Project'!$C5,'Int. Budget On-Off 2'!$AC$12:$AC$34,0),4),IF($R$3=3,INDEX('Int. Budget On-Off 3'!$AC$12:$AF$34,MATCH('Indian Project'!$C5,'Int. Budget On-Off 3'!$AC$12:$AC$34,0),4))))</f>
        <v>0</v>
      </c>
      <c r="G5" s="490"/>
      <c r="H5" s="161"/>
      <c r="I5" s="491" t="s">
        <v>71</v>
      </c>
      <c r="J5" s="492" t="s">
        <v>72</v>
      </c>
      <c r="K5" s="493" t="str">
        <f>IF($R$3=1,INDEX('Int. Budget On-Off 1'!$AG$12:$AJ$34,MATCH('Indian Project'!$I5,'Int. Budget On-Off 1'!$AG$12:$AG$34,0),3),IF($R$3=2,INDEX('Int. Budget On-Off 2'!$AG$12:$AJ$34,MATCH('Indian Project'!$I5,'Int. Budget On-Off 2'!$AG$12:$AG$34,0),3),IF($R$3=3,INDEX('Int. Budget On-Off 3'!$AG$12:$AJ$34,MATCH('Indian Project'!$I5,'Int. Budget On-Off 3'!$AG$12:$AG$34,0),3))))</f>
        <v>0</v>
      </c>
      <c r="L5" s="493" t="str">
        <f>IF($R$3=1,INDEX('Int. Budget On-Off 1'!$AG$12:$AJ$34,MATCH('Indian Project'!$I5,'Int. Budget On-Off 1'!$AG$12:$AG$34,0),4),IF($R$3=2,INDEX('Int. Budget On-Off 2'!$AG$12:$AJ$34,MATCH('Indian Project'!$I5,'Int. Budget On-Off 2'!$AG$12:$AG$34,0),4),IF($R$3=3,INDEX('Int. Budget On-Off 3'!$AG$12:$AJ$34,MATCH('Indian Project'!$I5,'Int. Budget On-Off 3'!$AG$12:$AG$34,0),4))))</f>
        <v>0</v>
      </c>
      <c r="M5" s="490"/>
      <c r="N5" s="483"/>
      <c r="O5" s="483"/>
      <c r="P5" s="399" t="s">
        <v>12</v>
      </c>
      <c r="Q5" s="400"/>
      <c r="R5" s="401" t="str">
        <f>R4*0.9</f>
        <v>0</v>
      </c>
    </row>
    <row r="6" spans="1:19">
      <c r="A6" s="596"/>
      <c r="B6" s="163" t="s">
        <v>11</v>
      </c>
      <c r="C6" s="163" t="s">
        <v>73</v>
      </c>
      <c r="D6" s="164" t="s">
        <v>74</v>
      </c>
      <c r="E6" s="489" t="str">
        <f>IF($R$3=1,INDEX('Int. Budget On-Off 1'!$AC$12:$AF$34,MATCH('Indian Project'!$C6,'Int. Budget On-Off 1'!$AC$12:$AC$34,0),3),IF($R$3=2,INDEX('Int. Budget On-Off 2'!$AC$12:$AF$34,MATCH('Indian Project'!$C6,'Int. Budget On-Off 2'!$AC$12:$AC$34,0),3),IF($R$3=3,INDEX('Int. Budget On-Off 3'!$AC$12:$AF$34,MATCH('Indian Project'!$C6,'Int. Budget On-Off 3'!$AC$12:$AC$34,0),3))))</f>
        <v>0</v>
      </c>
      <c r="F6" s="489" t="str">
        <f>IF($R$3=1,INDEX('Int. Budget On-Off 1'!$AC$12:$AF$34,MATCH('Indian Project'!$C6,'Int. Budget On-Off 1'!$AC$12:$AC$34,0),4),IF($R$3=2,INDEX('Int. Budget On-Off 2'!$AC$12:$AF$34,MATCH('Indian Project'!$C6,'Int. Budget On-Off 2'!$AC$12:$AC$34,0),4),IF($R$3=3,INDEX('Int. Budget On-Off 3'!$AC$12:$AF$34,MATCH('Indian Project'!$C6,'Int. Budget On-Off 3'!$AC$12:$AC$34,0),4))))</f>
        <v>0</v>
      </c>
      <c r="G6" s="490"/>
      <c r="H6" s="161"/>
      <c r="I6" s="491" t="s">
        <v>75</v>
      </c>
      <c r="J6" s="492" t="s">
        <v>76</v>
      </c>
      <c r="K6" s="493" t="str">
        <f>IF($R$3=1,INDEX('Int. Budget On-Off 1'!$AG$12:$AJ$34,MATCH('Indian Project'!$I6,'Int. Budget On-Off 1'!$AG$12:$AG$34,0),3),IF($R$3=2,INDEX('Int. Budget On-Off 2'!$AG$12:$AJ$34,MATCH('Indian Project'!$I6,'Int. Budget On-Off 2'!$AG$12:$AG$34,0),3),IF($R$3=3,INDEX('Int. Budget On-Off 3'!$AG$12:$AJ$34,MATCH('Indian Project'!$I6,'Int. Budget On-Off 3'!$AG$12:$AG$34,0),3))))</f>
        <v>0</v>
      </c>
      <c r="L6" s="493" t="str">
        <f>IF($R$3=1,INDEX('Int. Budget On-Off 1'!$AG$12:$AJ$34,MATCH('Indian Project'!$I6,'Int. Budget On-Off 1'!$AG$12:$AG$34,0),4),IF($R$3=2,INDEX('Int. Budget On-Off 2'!$AG$12:$AJ$34,MATCH('Indian Project'!$I6,'Int. Budget On-Off 2'!$AG$12:$AG$34,0),4),IF($R$3=3,INDEX('Int. Budget On-Off 3'!$AG$12:$AJ$34,MATCH('Indian Project'!$I6,'Int. Budget On-Off 3'!$AG$12:$AG$34,0),4))))</f>
        <v>0</v>
      </c>
      <c r="M6" s="490"/>
      <c r="N6" s="483"/>
      <c r="O6" s="483"/>
      <c r="P6" s="391" t="s">
        <v>13</v>
      </c>
      <c r="Q6" s="392"/>
      <c r="R6" s="3">
        <v>555</v>
      </c>
    </row>
    <row r="7" spans="1:19">
      <c r="A7" s="596"/>
      <c r="B7" s="163"/>
      <c r="C7" s="163"/>
      <c r="D7" s="164"/>
      <c r="E7" s="548"/>
      <c r="F7" s="489"/>
      <c r="G7" s="494"/>
      <c r="H7" s="161"/>
      <c r="I7" s="491" t="s">
        <v>77</v>
      </c>
      <c r="J7" s="492" t="s">
        <v>78</v>
      </c>
      <c r="K7" s="493" t="str">
        <f>IF($R$3=1,INDEX('Int. Budget On-Off 1'!$AG$12:$AJ$34,MATCH('Indian Project'!$I7,'Int. Budget On-Off 1'!$AG$12:$AG$34,0),3),IF($R$3=2,INDEX('Int. Budget On-Off 2'!$AG$12:$AJ$34,MATCH('Indian Project'!$I7,'Int. Budget On-Off 2'!$AG$12:$AG$34,0),3),IF($R$3=3,INDEX('Int. Budget On-Off 3'!$AG$12:$AJ$34,MATCH('Indian Project'!$I7,'Int. Budget On-Off 3'!$AG$12:$AG$34,0),3))))</f>
        <v>0</v>
      </c>
      <c r="L7" s="493" t="str">
        <f>IF($R$3=1,INDEX('Int. Budget On-Off 1'!$AG$12:$AJ$34,MATCH('Indian Project'!$I7,'Int. Budget On-Off 1'!$AG$12:$AG$34,0),4),IF($R$3=2,INDEX('Int. Budget On-Off 2'!$AG$12:$AJ$34,MATCH('Indian Project'!$I7,'Int. Budget On-Off 2'!$AG$12:$AG$34,0),4),IF($R$3=3,INDEX('Int. Budget On-Off 3'!$AG$12:$AJ$34,MATCH('Indian Project'!$I7,'Int. Budget On-Off 3'!$AG$12:$AG$34,0),4))))</f>
        <v>0</v>
      </c>
      <c r="M7" s="490"/>
      <c r="N7" s="483"/>
      <c r="O7" s="483"/>
      <c r="P7" s="393" t="s">
        <v>14</v>
      </c>
      <c r="Q7" s="390"/>
      <c r="R7" s="394" t="str">
        <f>R6*90%</f>
        <v>0</v>
      </c>
    </row>
    <row r="8" spans="1:19" customHeight="1" ht="15.75">
      <c r="A8" s="597"/>
      <c r="B8" s="170"/>
      <c r="C8" s="170"/>
      <c r="D8" s="171"/>
      <c r="E8" s="549"/>
      <c r="F8" s="495"/>
      <c r="G8" s="496"/>
      <c r="H8" s="161"/>
      <c r="I8" s="540" t="s">
        <v>79</v>
      </c>
      <c r="J8" s="541" t="s">
        <v>80</v>
      </c>
      <c r="K8" s="542" t="str">
        <f>IF($R$3=1,INDEX('Int. Budget On-Off 1'!$AG$12:$AJ$34,MATCH('Indian Project'!$I8,'Int. Budget On-Off 1'!$AG$12:$AG$34,0),3),IF($R$3=2,INDEX('Int. Budget On-Off 2'!$AG$12:$AJ$34,MATCH('Indian Project'!$I8,'Int. Budget On-Off 2'!$AG$12:$AG$34,0),3),IF($R$3=3,INDEX('Int. Budget On-Off 3'!$AG$12:$AJ$34,MATCH('Indian Project'!$I8,'Int. Budget On-Off 3'!$AG$12:$AG$34,0),3))))</f>
        <v>0</v>
      </c>
      <c r="L8" s="542" t="str">
        <f>IF($R$3=1,INDEX('Int. Budget On-Off 1'!$AG$12:$AJ$34,MATCH('Indian Project'!$I8,'Int. Budget On-Off 1'!$AG$12:$AG$34,0),4),IF($R$3=2,INDEX('Int. Budget On-Off 2'!$AG$12:$AJ$34,MATCH('Indian Project'!$I8,'Int. Budget On-Off 2'!$AG$12:$AG$34,0),4),IF($R$3=3,INDEX('Int. Budget On-Off 3'!$AG$12:$AJ$34,MATCH('Indian Project'!$I8,'Int. Budget On-Off 3'!$AG$12:$AG$34,0),4))))</f>
        <v>0</v>
      </c>
      <c r="M8" s="517"/>
      <c r="N8" s="483"/>
      <c r="O8" s="483"/>
      <c r="P8" s="393" t="s">
        <v>17</v>
      </c>
      <c r="Q8" s="390"/>
      <c r="R8" s="394" t="str">
        <f>(-R12-R13)*0.9</f>
        <v>0</v>
      </c>
    </row>
    <row r="9" spans="1:19" customHeight="1" ht="15.75">
      <c r="A9" s="595" t="s">
        <v>26</v>
      </c>
      <c r="B9" s="163" t="s">
        <v>11</v>
      </c>
      <c r="C9" s="163" t="s">
        <v>81</v>
      </c>
      <c r="D9" s="164" t="s">
        <v>82</v>
      </c>
      <c r="E9" s="489" t="str">
        <f>IF($R$3=1,INDEX('Int. Budget On-Off 1'!$AC$12:$AF$34,MATCH('Indian Project'!$C9,'Int. Budget On-Off 1'!$AC$12:$AC$34,0),3),IF($R$3=2,INDEX('Int. Budget On-Off 2'!$AC$12:$AF$34,MATCH('Indian Project'!$C9,'Int. Budget On-Off 2'!$AC$12:$AC$34,0),3),IF($R$3=3,INDEX('Int. Budget On-Off 3'!$AC$12:$AF$34,MATCH('Indian Project'!$C9,'Int. Budget On-Off 3'!$AC$12:$AC$34,0),3))))</f>
        <v>0</v>
      </c>
      <c r="F9" s="489" t="str">
        <f>IF($R$3=1,INDEX('Int. Budget On-Off 1'!$AC$12:$AF$34,MATCH('Indian Project'!$C9,'Int. Budget On-Off 1'!$AC$12:$AC$34,0),4),IF($R$3=2,INDEX('Int. Budget On-Off 2'!$AC$12:$AF$34,MATCH('Indian Project'!$C9,'Int. Budget On-Off 2'!$AC$12:$AC$34,0),4),IF($R$3=3,INDEX('Int. Budget On-Off 3'!$AC$12:$AF$34,MATCH('Indian Project'!$C9,'Int. Budget On-Off 3'!$AC$12:$AC$34,0),4))))</f>
        <v>0</v>
      </c>
      <c r="G9" s="498"/>
      <c r="H9" s="161"/>
      <c r="I9" s="486" t="s">
        <v>83</v>
      </c>
      <c r="J9" s="487" t="s">
        <v>84</v>
      </c>
      <c r="K9" s="488" t="str">
        <f>IF($R$3=1,INDEX('Int. Budget On-Off 1'!$AG$12:$AJ$34,MATCH('Indian Project'!$I9,'Int. Budget On-Off 1'!$AG$12:$AG$34,0),3),IF($R$3=2,INDEX('Int. Budget On-Off 2'!$AG$12:$AJ$34,MATCH('Indian Project'!$I9,'Int. Budget On-Off 2'!$AG$12:$AG$34,0),3),IF($R$3=3,INDEX('Int. Budget On-Off 3'!$AG$12:$AJ$34,MATCH('Indian Project'!$I9,'Int. Budget On-Off 3'!$AG$12:$AG$34,0),3))))</f>
        <v>0</v>
      </c>
      <c r="L9" s="488" t="str">
        <f>IF($R$3=1,INDEX('Int. Budget On-Off 1'!$AG$12:$AJ$34,MATCH('Indian Project'!$I9,'Int. Budget On-Off 1'!$AG$12:$AG$34,0),4),IF($R$3=2,INDEX('Int. Budget On-Off 2'!$AG$12:$AJ$34,MATCH('Indian Project'!$I9,'Int. Budget On-Off 2'!$AG$12:$AG$34,0),4),IF($R$3=3,INDEX('Int. Budget On-Off 3'!$AG$12:$AJ$34,MATCH('Indian Project'!$I9,'Int. Budget On-Off 3'!$AG$12:$AG$34,0),4))))</f>
        <v>0</v>
      </c>
      <c r="M9" s="485"/>
      <c r="N9" s="483"/>
      <c r="O9" s="483"/>
      <c r="P9" s="395" t="s">
        <v>18</v>
      </c>
      <c r="Q9" s="396"/>
      <c r="R9" s="229" t="str">
        <f>R7+R8</f>
        <v>0</v>
      </c>
    </row>
    <row r="10" spans="1:19">
      <c r="A10" s="596"/>
      <c r="B10" s="163" t="s">
        <v>11</v>
      </c>
      <c r="C10" s="163" t="s">
        <v>85</v>
      </c>
      <c r="D10" s="164" t="s">
        <v>86</v>
      </c>
      <c r="E10" s="489" t="str">
        <f>IF($R$3=1,INDEX('Int. Budget On-Off 1'!$AC$12:$AF$34,MATCH('Indian Project'!$C10,'Int. Budget On-Off 1'!$AC$12:$AC$34,0),3),IF($R$3=2,INDEX('Int. Budget On-Off 2'!$AC$12:$AF$34,MATCH('Indian Project'!$C10,'Int. Budget On-Off 2'!$AC$12:$AC$34,0),3),IF($R$3=3,INDEX('Int. Budget On-Off 3'!$AC$12:$AF$34,MATCH('Indian Project'!$C10,'Int. Budget On-Off 3'!$AC$12:$AC$34,0),3))))</f>
        <v>0</v>
      </c>
      <c r="F10" s="489" t="str">
        <f>IF($R$3=1,INDEX('Int. Budget On-Off 1'!$AC$12:$AF$34,MATCH('Indian Project'!$C10,'Int. Budget On-Off 1'!$AC$12:$AC$34,0),4),IF($R$3=2,INDEX('Int. Budget On-Off 2'!$AC$12:$AF$34,MATCH('Indian Project'!$C10,'Int. Budget On-Off 2'!$AC$12:$AC$34,0),4),IF($R$3=3,INDEX('Int. Budget On-Off 3'!$AC$12:$AF$34,MATCH('Indian Project'!$C10,'Int. Budget On-Off 3'!$AC$12:$AC$34,0),4))))</f>
        <v>0</v>
      </c>
      <c r="G10" s="490"/>
      <c r="H10" s="161"/>
      <c r="I10" s="491" t="s">
        <v>87</v>
      </c>
      <c r="J10" s="492" t="s">
        <v>88</v>
      </c>
      <c r="K10" s="493" t="str">
        <f>IF($R$3=1,INDEX('Int. Budget On-Off 1'!$AG$12:$AJ$34,MATCH('Indian Project'!$I10,'Int. Budget On-Off 1'!$AG$12:$AG$34,0),3),IF($R$3=2,INDEX('Int. Budget On-Off 2'!$AG$12:$AJ$34,MATCH('Indian Project'!$I10,'Int. Budget On-Off 2'!$AG$12:$AG$34,0),3),IF($R$3=3,INDEX('Int. Budget On-Off 3'!$AG$12:$AJ$34,MATCH('Indian Project'!$I10,'Int. Budget On-Off 3'!$AG$12:$AG$34,0),3))))</f>
        <v>0</v>
      </c>
      <c r="L10" s="493" t="str">
        <f>IF($R$3=1,INDEX('Int. Budget On-Off 1'!$AG$12:$AJ$34,MATCH('Indian Project'!$I10,'Int. Budget On-Off 1'!$AG$12:$AG$34,0),4),IF($R$3=2,INDEX('Int. Budget On-Off 2'!$AG$12:$AJ$34,MATCH('Indian Project'!$I10,'Int. Budget On-Off 2'!$AG$12:$AG$34,0),4),IF($R$3=3,INDEX('Int. Budget On-Off 3'!$AG$12:$AJ$34,MATCH('Indian Project'!$I10,'Int. Budget On-Off 3'!$AG$12:$AG$34,0),4))))</f>
        <v>0</v>
      </c>
      <c r="M10" s="499" t="str">
        <f>'Development effort'!F24</f>
        <v>0</v>
      </c>
      <c r="N10" s="483"/>
      <c r="O10" s="483"/>
      <c r="P10" s="483"/>
      <c r="Q10" s="483"/>
      <c r="R10" s="483"/>
    </row>
    <row r="11" spans="1:19">
      <c r="A11" s="596"/>
      <c r="B11" s="480" t="s">
        <v>11</v>
      </c>
      <c r="C11" s="480" t="s">
        <v>89</v>
      </c>
      <c r="D11" s="481" t="s">
        <v>90</v>
      </c>
      <c r="E11" s="497" t="str">
        <f>IF($R$3=1,INDEX('Int. Budget On-Off 1'!$AC$12:$AF$34,MATCH('Indian Project'!$C11,'Int. Budget On-Off 1'!$AC$12:$AC$34,0),3),IF($R$3=2,INDEX('Int. Budget On-Off 2'!$AC$12:$AF$34,MATCH('Indian Project'!$C11,'Int. Budget On-Off 2'!$AC$12:$AC$34,0),3),IF($R$3=3,INDEX('Int. Budget On-Off 3'!$AC$12:$AF$34,MATCH('Indian Project'!$C11,'Int. Budget On-Off 3'!$AC$12:$AC$34,0),3))))</f>
        <v>0</v>
      </c>
      <c r="F11" s="497" t="str">
        <f>IF($R$3=1,INDEX('Int. Budget On-Off 1'!$AC$12:$AF$34,MATCH('Indian Project'!$C11,'Int. Budget On-Off 1'!$AC$12:$AC$34,0),4),IF($R$3=2,INDEX('Int. Budget On-Off 2'!$AC$12:$AF$34,MATCH('Indian Project'!$C11,'Int. Budget On-Off 2'!$AC$12:$AC$34,0),4),IF($R$3=3,INDEX('Int. Budget On-Off 3'!$AC$12:$AF$34,MATCH('Indian Project'!$C11,'Int. Budget On-Off 3'!$AC$12:$AC$34,0),4))))</f>
        <v>0</v>
      </c>
      <c r="G11" s="490"/>
      <c r="H11" s="161"/>
      <c r="I11" s="510"/>
      <c r="J11" s="511"/>
      <c r="K11" s="512"/>
      <c r="L11" s="512"/>
      <c r="M11" s="513"/>
      <c r="N11" s="483"/>
      <c r="O11" s="483"/>
      <c r="P11" s="483"/>
      <c r="Q11" s="483"/>
      <c r="R11" s="483"/>
    </row>
    <row r="12" spans="1:19" customHeight="1" ht="15.75">
      <c r="A12" s="597"/>
      <c r="B12" s="170" t="s">
        <v>11</v>
      </c>
      <c r="C12" s="170" t="s">
        <v>91</v>
      </c>
      <c r="D12" s="171" t="s">
        <v>92</v>
      </c>
      <c r="E12" s="495" t="str">
        <f>IF($R$3=1,INDEX('Int. Budget On-Off 1'!$AC$12:$AF$34,MATCH('Indian Project'!$C12,'Int. Budget On-Off 1'!$AC$12:$AC$34,0),3),IF($R$3=2,INDEX('Int. Budget On-Off 2'!$AC$12:$AF$34,MATCH('Indian Project'!$C12,'Int. Budget On-Off 2'!$AC$12:$AC$34,0),3),IF($R$3=3,INDEX('Int. Budget On-Off 3'!$AC$12:$AF$34,MATCH('Indian Project'!$C12,'Int. Budget On-Off 3'!$AC$12:$AC$34,0),3))))</f>
        <v>0</v>
      </c>
      <c r="F12" s="495" t="str">
        <f>IF($R$3=1,INDEX('Int. Budget On-Off 1'!$AC$12:$AF$34,MATCH('Indian Project'!$C12,'Int. Budget On-Off 1'!$AC$12:$AC$34,0),4),IF($R$3=2,INDEX('Int. Budget On-Off 2'!$AC$12:$AF$34,MATCH('Indian Project'!$C12,'Int. Budget On-Off 2'!$AC$12:$AC$34,0),4),IF($R$3=3,INDEX('Int. Budget On-Off 3'!$AC$12:$AF$34,MATCH('Indian Project'!$C12,'Int. Budget On-Off 3'!$AC$12:$AC$34,0),4))))</f>
        <v>0</v>
      </c>
      <c r="G12" s="504"/>
      <c r="H12" s="161"/>
      <c r="I12" s="500"/>
      <c r="J12" s="501"/>
      <c r="K12" s="502"/>
      <c r="L12" s="502"/>
      <c r="M12" s="503"/>
      <c r="N12" s="483"/>
      <c r="O12" s="483"/>
      <c r="P12" s="267" t="s">
        <v>21</v>
      </c>
      <c r="Q12" s="220"/>
      <c r="R12" s="505">
        <v>0</v>
      </c>
    </row>
    <row r="13" spans="1:19">
      <c r="A13" s="598" t="s">
        <v>31</v>
      </c>
      <c r="B13" s="168" t="s">
        <v>11</v>
      </c>
      <c r="C13" s="168" t="s">
        <v>93</v>
      </c>
      <c r="D13" s="169" t="s">
        <v>94</v>
      </c>
      <c r="E13" s="484" t="str">
        <f>IF($R$3=1,INDEX('Int. Budget On-Off 1'!$AC$12:$AF$34,MATCH('Indian Project'!$C13,'Int. Budget On-Off 1'!$AC$12:$AC$34,0),3),IF($R$3=2,INDEX('Int. Budget On-Off 2'!$AC$12:$AF$34,MATCH('Indian Project'!$C13,'Int. Budget On-Off 2'!$AC$12:$AC$34,0),3),IF($R$3=3,INDEX('Int. Budget On-Off 3'!$AC$12:$AF$34,MATCH('Indian Project'!$C13,'Int. Budget On-Off 3'!$AC$12:$AC$34,0),3))))</f>
        <v>0</v>
      </c>
      <c r="F13" s="484" t="str">
        <f>IF($R$3=1,INDEX('Int. Budget On-Off 1'!$AC$12:$AF$34,MATCH('Indian Project'!$C13,'Int. Budget On-Off 1'!$AC$12:$AC$34,0),4),IF($R$3=2,INDEX('Int. Budget On-Off 2'!$AC$12:$AF$34,MATCH('Indian Project'!$C13,'Int. Budget On-Off 2'!$AC$12:$AC$34,0),4),IF($R$3=3,INDEX('Int. Budget On-Off 3'!$AC$12:$AF$34,MATCH('Indian Project'!$C13,'Int. Budget On-Off 3'!$AC$12:$AC$34,0),4))))</f>
        <v>0</v>
      </c>
      <c r="G13" s="485"/>
      <c r="H13" s="161"/>
      <c r="I13" s="486" t="s">
        <v>95</v>
      </c>
      <c r="J13" s="487" t="s">
        <v>96</v>
      </c>
      <c r="K13" s="488" t="str">
        <f>IF($R$3=1,INDEX('Int. Budget On-Off 1'!$AG$12:$AJ$34,MATCH('Indian Project'!$I13,'Int. Budget On-Off 1'!$AG$12:$AG$34,0),3),IF($R$3=2,INDEX('Int. Budget On-Off 2'!$AG$12:$AJ$34,MATCH('Indian Project'!$I13,'Int. Budget On-Off 2'!$AG$12:$AG$34,0),3),IF($R$3=3,INDEX('Int. Budget On-Off 3'!$AG$12:$AJ$34,MATCH('Indian Project'!$I13,'Int. Budget On-Off 3'!$AG$12:$AG$34,0),3))))</f>
        <v>0</v>
      </c>
      <c r="L13" s="488" t="str">
        <f>IF($R$3=1,INDEX('Int. Budget On-Off 1'!$AG$12:$AJ$34,MATCH('Indian Project'!$I13,'Int. Budget On-Off 1'!$AG$12:$AG$34,0),4),IF($R$3=2,INDEX('Int. Budget On-Off 2'!$AG$12:$AJ$34,MATCH('Indian Project'!$I13,'Int. Budget On-Off 2'!$AG$12:$AG$34,0),4),IF($R$3=3,INDEX('Int. Budget On-Off 3'!$AG$12:$AJ$34,MATCH('Indian Project'!$I13,'Int. Budget On-Off 3'!$AG$12:$AG$34,0),4))))</f>
        <v>0</v>
      </c>
      <c r="M13" s="485"/>
      <c r="N13" s="483"/>
      <c r="O13" s="507"/>
      <c r="P13" s="267" t="s">
        <v>97</v>
      </c>
      <c r="Q13" s="220"/>
      <c r="R13" s="505">
        <v>0</v>
      </c>
    </row>
    <row r="14" spans="1:19">
      <c r="A14" s="596"/>
      <c r="B14" s="163" t="s">
        <v>11</v>
      </c>
      <c r="C14" s="544" t="s">
        <v>98</v>
      </c>
      <c r="D14" s="508" t="s">
        <v>99</v>
      </c>
      <c r="E14" s="509" t="str">
        <f>IF($R$3=1,INDEX('Int. Budget On-Off 1'!$AC$12:$AF$34,MATCH('Indian Project'!$C14,'Int. Budget On-Off 1'!$AC$12:$AC$34,0),3),IF($R$3=2,INDEX('Int. Budget On-Off 2'!$AC$12:$AF$34,MATCH('Indian Project'!$C14,'Int. Budget On-Off 2'!$AC$12:$AC$34,0),3),IF($R$3=3,INDEX('Int. Budget On-Off 3'!$AC$12:$AF$34,MATCH('Indian Project'!$C14,'Int. Budget On-Off 3'!$AC$12:$AC$34,0),3))))</f>
        <v>0</v>
      </c>
      <c r="F14" s="509" t="str">
        <f>IF($R$3=1,INDEX('Int. Budget On-Off 1'!$AC$12:$AF$34,MATCH('Indian Project'!$C14,'Int. Budget On-Off 1'!$AC$12:$AC$34,0),4),IF($R$3=2,INDEX('Int. Budget On-Off 2'!$AC$12:$AF$34,MATCH('Indian Project'!$C14,'Int. Budget On-Off 2'!$AC$12:$AC$34,0),4),IF($R$3=3,INDEX('Int. Budget On-Off 3'!$AC$12:$AF$34,MATCH('Indian Project'!$C14,'Int. Budget On-Off 3'!$AC$12:$AC$34,0),4))))</f>
        <v>0</v>
      </c>
      <c r="G14" s="490"/>
      <c r="H14" s="161"/>
      <c r="I14" s="491" t="s">
        <v>100</v>
      </c>
      <c r="J14" s="492" t="s">
        <v>101</v>
      </c>
      <c r="K14" s="493" t="str">
        <f>IF($R$3=1,INDEX('Int. Budget On-Off 1'!$AG$12:$AJ$34,MATCH('Indian Project'!$I14,'Int. Budget On-Off 1'!$AG$12:$AG$34,0),3),IF($R$3=2,INDEX('Int. Budget On-Off 2'!$AG$12:$AJ$34,MATCH('Indian Project'!$I14,'Int. Budget On-Off 2'!$AG$12:$AG$34,0),3),IF($R$3=3,INDEX('Int. Budget On-Off 3'!$AG$12:$AJ$34,MATCH('Indian Project'!$I14,'Int. Budget On-Off 3'!$AG$12:$AG$34,0),3))))</f>
        <v>0</v>
      </c>
      <c r="L14" s="493" t="str">
        <f>IF($R$3=1,INDEX('Int. Budget On-Off 1'!$AG$12:$AJ$34,MATCH('Indian Project'!$I14,'Int. Budget On-Off 1'!$AG$12:$AG$34,0),4),IF($R$3=2,INDEX('Int. Budget On-Off 2'!$AG$12:$AJ$34,MATCH('Indian Project'!$I14,'Int. Budget On-Off 2'!$AG$12:$AG$34,0),4),IF($R$3=3,INDEX('Int. Budget On-Off 3'!$AG$12:$AJ$34,MATCH('Indian Project'!$I14,'Int. Budget On-Off 3'!$AG$12:$AG$34,0),4))))</f>
        <v>0</v>
      </c>
      <c r="M14" s="490"/>
      <c r="N14" s="483"/>
      <c r="O14" s="483"/>
      <c r="P14" s="483"/>
      <c r="Q14" s="483"/>
      <c r="R14" s="483"/>
    </row>
    <row r="15" spans="1:19" customHeight="1" ht="15.75">
      <c r="A15" s="597"/>
      <c r="B15" s="170" t="s">
        <v>11</v>
      </c>
      <c r="C15" s="545" t="s">
        <v>102</v>
      </c>
      <c r="D15" s="546" t="s">
        <v>103</v>
      </c>
      <c r="E15" s="547" t="str">
        <f>IF($R$3=1,INDEX('Int. Budget On-Off 1'!$AC$12:$AF$34,MATCH('Indian Project'!$C15,'Int. Budget On-Off 1'!$AC$12:$AC$34,0),3),IF($R$3=2,INDEX('Int. Budget On-Off 2'!$AC$12:$AF$34,MATCH('Indian Project'!$C15,'Int. Budget On-Off 2'!$AC$12:$AC$34,0),3),IF($R$3=3,INDEX('Int. Budget On-Off 3'!$AC$12:$AF$34,MATCH('Indian Project'!$C15,'Int. Budget On-Off 3'!$AC$12:$AC$34,0),3))))</f>
        <v>0</v>
      </c>
      <c r="F15" s="547" t="str">
        <f>IF($R$3=1,INDEX('Int. Budget On-Off 1'!$AC$12:$AF$34,MATCH('Indian Project'!$C15,'Int. Budget On-Off 1'!$AC$12:$AC$34,0),4),IF($R$3=2,INDEX('Int. Budget On-Off 2'!$AC$12:$AF$34,MATCH('Indian Project'!$C15,'Int. Budget On-Off 2'!$AC$12:$AC$34,0),4),IF($R$3=3,INDEX('Int. Budget On-Off 3'!$AC$12:$AF$34,MATCH('Indian Project'!$C15,'Int. Budget On-Off 3'!$AC$12:$AC$34,0),4))))</f>
        <v>0</v>
      </c>
      <c r="G15" s="504"/>
      <c r="H15" s="161"/>
      <c r="I15" s="500"/>
      <c r="J15" s="501"/>
      <c r="K15" s="502"/>
      <c r="L15" s="502"/>
      <c r="M15" s="503"/>
      <c r="N15" s="483"/>
      <c r="O15" s="483"/>
      <c r="P15" s="483"/>
      <c r="Q15" s="483"/>
      <c r="R15" s="483"/>
    </row>
    <row r="16" spans="1:19" customHeight="1" ht="15.75">
      <c r="A16" s="475" t="s">
        <v>42</v>
      </c>
      <c r="B16" s="556" t="s">
        <v>11</v>
      </c>
      <c r="C16" s="557" t="s">
        <v>43</v>
      </c>
      <c r="D16" s="551" t="s">
        <v>44</v>
      </c>
      <c r="E16" s="558" t="str">
        <f>$R$12*0.9</f>
        <v>0</v>
      </c>
      <c r="F16" s="558" t="str">
        <f>$R$12*0.9</f>
        <v>0</v>
      </c>
      <c r="G16" s="543"/>
      <c r="H16" s="161"/>
      <c r="I16" s="550" t="s">
        <v>104</v>
      </c>
      <c r="J16" s="551" t="s">
        <v>105</v>
      </c>
      <c r="K16" s="558" t="str">
        <f>$R$13*0.9</f>
        <v>0</v>
      </c>
      <c r="L16" s="558" t="str">
        <f>$R$13*0.9</f>
        <v>0</v>
      </c>
      <c r="M16" s="543"/>
      <c r="N16" s="483"/>
      <c r="O16" s="483"/>
      <c r="P16" s="267" t="s">
        <v>27</v>
      </c>
      <c r="Q16" s="220"/>
      <c r="R16" s="505">
        <v>0</v>
      </c>
    </row>
    <row r="17" spans="1:19">
      <c r="A17" s="599" t="s">
        <v>45</v>
      </c>
      <c r="B17" s="168" t="s">
        <v>11</v>
      </c>
      <c r="C17" s="168" t="s">
        <v>106</v>
      </c>
      <c r="D17" s="169" t="s">
        <v>107</v>
      </c>
      <c r="E17" s="484" t="str">
        <f>IF($R$3=1,INDEX('Int. Budget On-Off 1'!$AC$12:$AF$34,MATCH('Indian Project'!$C17,'Int. Budget On-Off 1'!$AC$12:$AC$34,0),3),IF($R$3=2,INDEX('Int. Budget On-Off 2'!$AC$12:$AF$34,MATCH('Indian Project'!$C17,'Int. Budget On-Off 2'!$AC$12:$AC$34,0),3),IF($R$3=3,INDEX('Int. Budget On-Off 3'!$AC$12:$AF$34,MATCH('Indian Project'!$C17,'Int. Budget On-Off 3'!$AC$12:$AC$34,0),3))))</f>
        <v>0</v>
      </c>
      <c r="F17" s="484" t="str">
        <f>IF($R$3=1,INDEX('Int. Budget On-Off 1'!$AC$12:$AF$34,MATCH('Indian Project'!$C17,'Int. Budget On-Off 1'!$AC$12:$AC$34,0),4),IF($R$3=2,INDEX('Int. Budget On-Off 2'!$AC$12:$AF$34,MATCH('Indian Project'!$C17,'Int. Budget On-Off 2'!$AC$12:$AC$34,0),4),IF($R$3=3,INDEX('Int. Budget On-Off 3'!$AC$12:$AF$34,MATCH('Indian Project'!$C17,'Int. Budget On-Off 3'!$AC$12:$AC$34,0),4))))</f>
        <v>0</v>
      </c>
      <c r="G17" s="485"/>
      <c r="H17" s="161"/>
      <c r="I17" s="486" t="s">
        <v>108</v>
      </c>
      <c r="J17" s="487" t="s">
        <v>109</v>
      </c>
      <c r="K17" s="488" t="str">
        <f>IF($R$3=1,INDEX('Int. Budget On-Off 1'!$AG$12:$AJ$34,MATCH('Indian Project'!$I17,'Int. Budget On-Off 1'!$AG$12:$AG$34,0),3),IF($R$3=2,INDEX('Int. Budget On-Off 2'!$AG$12:$AJ$34,MATCH('Indian Project'!$I17,'Int. Budget On-Off 2'!$AG$12:$AG$34,0),3),IF($R$3=3,INDEX('Int. Budget On-Off 3'!$AG$12:$AJ$34,MATCH('Indian Project'!$I17,'Int. Budget On-Off 3'!$AG$12:$AG$34,0),3))))</f>
        <v>0</v>
      </c>
      <c r="L17" s="488" t="str">
        <f>IF($R$3=1,INDEX('Int. Budget On-Off 1'!$AG$12:$AJ$34,MATCH('Indian Project'!$I17,'Int. Budget On-Off 1'!$AG$12:$AG$34,0),4),IF($R$3=2,INDEX('Int. Budget On-Off 2'!$AG$12:$AJ$34,MATCH('Indian Project'!$I17,'Int. Budget On-Off 2'!$AG$12:$AG$34,0),4),IF($R$3=3,INDEX('Int. Budget On-Off 3'!$AG$12:$AJ$34,MATCH('Indian Project'!$I17,'Int. Budget On-Off 3'!$AG$12:$AG$34,0),4))))</f>
        <v>0</v>
      </c>
      <c r="M17" s="485"/>
      <c r="N17" s="483"/>
      <c r="O17" s="483"/>
      <c r="P17" s="483"/>
      <c r="Q17" s="483"/>
      <c r="R17" s="483"/>
    </row>
    <row r="18" spans="1:19">
      <c r="A18" s="600"/>
      <c r="B18" s="163" t="s">
        <v>11</v>
      </c>
      <c r="C18" s="544" t="s">
        <v>110</v>
      </c>
      <c r="D18" s="508" t="s">
        <v>111</v>
      </c>
      <c r="E18" s="509" t="str">
        <f>IF($R$3=1,INDEX('Int. Budget On-Off 1'!$AC$12:$AF$34,MATCH('Indian Project'!$C18,'Int. Budget On-Off 1'!$AC$12:$AC$34,0),3),IF($R$3=2,INDEX('Int. Budget On-Off 2'!$AC$12:$AF$34,MATCH('Indian Project'!$C18,'Int. Budget On-Off 2'!$AC$12:$AC$34,0),3),IF($R$3=3,INDEX('Int. Budget On-Off 3'!$AC$12:$AF$34,MATCH('Indian Project'!$C18,'Int. Budget On-Off 3'!$AC$12:$AC$34,0),3))))</f>
        <v>0</v>
      </c>
      <c r="F18" s="509" t="str">
        <f>IF($R$3=1,INDEX('Int. Budget On-Off 1'!$AC$12:$AF$34,MATCH('Indian Project'!$C18,'Int. Budget On-Off 1'!$AC$12:$AC$34,0),4),IF($R$3=2,INDEX('Int. Budget On-Off 2'!$AC$12:$AF$34,MATCH('Indian Project'!$C18,'Int. Budget On-Off 2'!$AC$12:$AC$34,0),4),IF($R$3=3,INDEX('Int. Budget On-Off 3'!$AC$12:$AF$34,MATCH('Indian Project'!$C18,'Int. Budget On-Off 3'!$AC$12:$AC$34,0),4))))</f>
        <v>0</v>
      </c>
      <c r="G18" s="490"/>
      <c r="H18" s="161"/>
      <c r="I18" s="491" t="s">
        <v>112</v>
      </c>
      <c r="J18" s="492" t="s">
        <v>113</v>
      </c>
      <c r="K18" s="493" t="str">
        <f>IF($R$3=1,INDEX('Int. Budget On-Off 1'!$AG$12:$AJ$34,MATCH('Indian Project'!$I18,'Int. Budget On-Off 1'!$AG$12:$AG$34,0),3),IF($R$3=2,INDEX('Int. Budget On-Off 2'!$AG$12:$AJ$34,MATCH('Indian Project'!$I18,'Int. Budget On-Off 2'!$AG$12:$AG$34,0),3),IF($R$3=3,INDEX('Int. Budget On-Off 3'!$AG$12:$AJ$34,MATCH('Indian Project'!$I18,'Int. Budget On-Off 3'!$AG$12:$AG$34,0),3))))</f>
        <v>0</v>
      </c>
      <c r="L18" s="493" t="str">
        <f>IF($R$3=1,INDEX('Int. Budget On-Off 1'!$AG$12:$AJ$34,MATCH('Indian Project'!$I18,'Int. Budget On-Off 1'!$AG$12:$AG$34,0),4),IF($R$3=2,INDEX('Int. Budget On-Off 2'!$AG$12:$AJ$34,MATCH('Indian Project'!$I18,'Int. Budget On-Off 2'!$AG$12:$AG$34,0),4),IF($R$3=3,INDEX('Int. Budget On-Off 3'!$AG$12:$AJ$34,MATCH('Indian Project'!$I18,'Int. Budget On-Off 3'!$AG$12:$AG$34,0),4))))</f>
        <v>0</v>
      </c>
      <c r="M18" s="490"/>
      <c r="N18" s="483"/>
      <c r="O18" s="483"/>
      <c r="P18" s="267" t="s">
        <v>30</v>
      </c>
      <c r="Q18" s="220"/>
      <c r="R18" s="505">
        <v>0</v>
      </c>
    </row>
    <row r="19" spans="1:19">
      <c r="A19" s="600"/>
      <c r="B19" s="163" t="s">
        <v>11</v>
      </c>
      <c r="C19" s="163" t="s">
        <v>114</v>
      </c>
      <c r="D19" s="164" t="s">
        <v>115</v>
      </c>
      <c r="E19" s="489" t="str">
        <f>IF($R$3=1,INDEX('Int. Budget On-Off 1'!$AC$12:$AF$34,MATCH('Indian Project'!$C19,'Int. Budget On-Off 1'!$AC$12:$AC$34,0),3),IF($R$3=2,INDEX('Int. Budget On-Off 2'!$AC$12:$AF$34,MATCH('Indian Project'!$C19,'Int. Budget On-Off 2'!$AC$12:$AC$34,0),3),IF($R$3=3,INDEX('Int. Budget On-Off 3'!$AC$12:$AF$34,MATCH('Indian Project'!$C19,'Int. Budget On-Off 3'!$AC$12:$AC$34,0),3))))</f>
        <v>0</v>
      </c>
      <c r="F19" s="489" t="str">
        <f>IF($R$3=1,INDEX('Int. Budget On-Off 1'!$AC$12:$AF$34,MATCH('Indian Project'!$C19,'Int. Budget On-Off 1'!$AC$12:$AC$34,0),4),IF($R$3=2,INDEX('Int. Budget On-Off 2'!$AC$12:$AF$34,MATCH('Indian Project'!$C19,'Int. Budget On-Off 2'!$AC$12:$AC$34,0),4),IF($R$3=3,INDEX('Int. Budget On-Off 3'!$AC$12:$AF$34,MATCH('Indian Project'!$C19,'Int. Budget On-Off 3'!$AC$12:$AC$34,0),4))))</f>
        <v>0</v>
      </c>
      <c r="G19" s="490"/>
      <c r="H19" s="161"/>
      <c r="I19" s="491" t="s">
        <v>116</v>
      </c>
      <c r="J19" s="492" t="s">
        <v>117</v>
      </c>
      <c r="K19" s="493" t="str">
        <f>IF($R$3=1,INDEX('Int. Budget On-Off 1'!$AG$12:$AJ$34,MATCH('Indian Project'!$I19,'Int. Budget On-Off 1'!$AG$12:$AG$34,0),3),IF($R$3=2,INDEX('Int. Budget On-Off 2'!$AG$12:$AJ$34,MATCH('Indian Project'!$I19,'Int. Budget On-Off 2'!$AG$12:$AG$34,0),3),IF($R$3=3,INDEX('Int. Budget On-Off 3'!$AG$12:$AJ$34,MATCH('Indian Project'!$I19,'Int. Budget On-Off 3'!$AG$12:$AG$34,0),3))))</f>
        <v>0</v>
      </c>
      <c r="L19" s="493" t="str">
        <f>IF($R$3=1,INDEX('Int. Budget On-Off 1'!$AG$12:$AJ$34,MATCH('Indian Project'!$I19,'Int. Budget On-Off 1'!$AG$12:$AG$34,0),4),IF($R$3=2,INDEX('Int. Budget On-Off 2'!$AG$12:$AJ$34,MATCH('Indian Project'!$I19,'Int. Budget On-Off 2'!$AG$12:$AG$34,0),4),IF($R$3=3,INDEX('Int. Budget On-Off 3'!$AG$12:$AJ$34,MATCH('Indian Project'!$I19,'Int. Budget On-Off 3'!$AG$12:$AG$34,0),4))))</f>
        <v>0</v>
      </c>
      <c r="M19" s="490"/>
      <c r="N19" s="483"/>
      <c r="O19" s="483"/>
      <c r="P19" s="483"/>
      <c r="Q19" s="483"/>
      <c r="R19" s="483"/>
    </row>
    <row r="20" spans="1:19" customHeight="1" ht="15.75">
      <c r="A20" s="601"/>
      <c r="B20" s="170" t="s">
        <v>11</v>
      </c>
      <c r="C20" s="170" t="s">
        <v>118</v>
      </c>
      <c r="D20" s="171" t="s">
        <v>119</v>
      </c>
      <c r="E20" s="495" t="str">
        <f>IF($R$3=1,INDEX('Int. Budget On-Off 1'!$AC$12:$AF$34,MATCH('Indian Project'!$C20,'Int. Budget On-Off 1'!$AC$12:$AC$34,0),3),IF($R$3=2,INDEX('Int. Budget On-Off 2'!$AC$12:$AF$34,MATCH('Indian Project'!$C20,'Int. Budget On-Off 2'!$AC$12:$AC$34,0),3),IF($R$3=3,INDEX('Int. Budget On-Off 3'!$AC$12:$AF$34,MATCH('Indian Project'!$C20,'Int. Budget On-Off 3'!$AC$12:$AC$34,0),3))))</f>
        <v>0</v>
      </c>
      <c r="F20" s="495" t="str">
        <f>IF($R$3=1,INDEX('Int. Budget On-Off 1'!$AC$12:$AF$34,MATCH('Indian Project'!$C20,'Int. Budget On-Off 1'!$AC$12:$AC$34,0),4),IF($R$3=2,INDEX('Int. Budget On-Off 2'!$AC$12:$AF$34,MATCH('Indian Project'!$C20,'Int. Budget On-Off 2'!$AC$12:$AC$34,0),4),IF($R$3=3,INDEX('Int. Budget On-Off 3'!$AC$12:$AF$34,MATCH('Indian Project'!$C20,'Int. Budget On-Off 3'!$AC$12:$AC$34,0),4))))</f>
        <v>0</v>
      </c>
      <c r="G20" s="504"/>
      <c r="H20" s="161"/>
      <c r="I20" s="514" t="s">
        <v>120</v>
      </c>
      <c r="J20" s="515" t="s">
        <v>121</v>
      </c>
      <c r="K20" s="516" t="str">
        <f>IF($R$3=1,INDEX('Int. Budget On-Off 1'!$AG$12:$AJ$34,MATCH('Indian Project'!$I20,'Int. Budget On-Off 1'!$AG$12:$AG$34,0),3),IF($R$3=2,INDEX('Int. Budget On-Off 2'!$AG$12:$AJ$34,MATCH('Indian Project'!$I20,'Int. Budget On-Off 2'!$AG$12:$AG$34,0),3),IF($R$3=3,INDEX('Int. Budget On-Off 3'!$AG$12:$AJ$34,MATCH('Indian Project'!$I20,'Int. Budget On-Off 3'!$AG$12:$AG$34,0),3))))</f>
        <v>0</v>
      </c>
      <c r="L20" s="516" t="str">
        <f>IF($R$3=1,INDEX('Int. Budget On-Off 1'!$AG$12:$AJ$34,MATCH('Indian Project'!$I20,'Int. Budget On-Off 1'!$AG$12:$AG$34,0),4),IF($R$3=2,INDEX('Int. Budget On-Off 2'!$AG$12:$AJ$34,MATCH('Indian Project'!$I20,'Int. Budget On-Off 2'!$AG$12:$AG$34,0),4),IF($R$3=3,INDEX('Int. Budget On-Off 3'!$AG$12:$AJ$34,MATCH('Indian Project'!$I20,'Int. Budget On-Off 3'!$AG$12:$AG$34,0),4))))</f>
        <v>0</v>
      </c>
      <c r="M20" s="555" t="str">
        <f>'Development effort'!E23</f>
        <v>0</v>
      </c>
      <c r="N20" s="483"/>
      <c r="O20" s="483"/>
      <c r="P20" s="483"/>
      <c r="Q20" s="483"/>
      <c r="R20" s="483"/>
    </row>
    <row r="21" spans="1:19" customHeight="1" ht="15.75">
      <c r="A21" s="476" t="s">
        <v>39</v>
      </c>
      <c r="B21" s="361" t="s">
        <v>11</v>
      </c>
      <c r="C21" s="559" t="s">
        <v>40</v>
      </c>
      <c r="D21" s="560" t="s">
        <v>41</v>
      </c>
      <c r="E21" s="561" t="str">
        <f>IF($R$3=1,INDEX('Int. Budget On-Off 1'!$AC$12:$AF$34,MATCH('Indian Project'!$C21,'Int. Budget On-Off 1'!$AC$12:$AC$34,0),3),IF($R$3=2,INDEX('Int. Budget On-Off 2'!$AC$12:$AF$34,MATCH('Indian Project'!$C21,'Int. Budget On-Off 2'!$AC$12:$AC$34,0),3),IF($R$3=3,INDEX('Int. Budget On-Off 3'!$AC$12:$AF$34,MATCH('Indian Project'!$C21,'Int. Budget On-Off 3'!$AC$12:$AC$34,0),3))))</f>
        <v>0</v>
      </c>
      <c r="F21" s="561" t="str">
        <f>IF($R$3=1,INDEX('Int. Budget On-Off 1'!$AC$12:$AF$34,MATCH('Indian Project'!$C21,'Int. Budget On-Off 1'!$AC$12:$AC$34,0),4),IF($R$3=2,INDEX('Int. Budget On-Off 2'!$AC$12:$AF$34,MATCH('Indian Project'!$C21,'Int. Budget On-Off 2'!$AC$12:$AC$34,0),4),IF($R$3=3,INDEX('Int. Budget On-Off 3'!$AC$12:$AF$34,MATCH('Indian Project'!$C21,'Int. Budget On-Off 3'!$AC$12:$AC$34,0),4))))</f>
        <v>0</v>
      </c>
      <c r="G21" s="506"/>
      <c r="H21" s="161"/>
      <c r="I21" s="552" t="s">
        <v>122</v>
      </c>
      <c r="J21" s="553" t="s">
        <v>123</v>
      </c>
      <c r="K21" s="554" t="str">
        <f>IF($R$3=1,INDEX('Int. Budget On-Off 1'!$AG$12:$AJ$34,MATCH('Indian Project'!$I21,'Int. Budget On-Off 1'!$AG$12:$AG$34,0),3),IF($R$3=2,INDEX('Int. Budget On-Off 2'!$AG$12:$AJ$34,MATCH('Indian Project'!$I21,'Int. Budget On-Off 2'!$AG$12:$AG$34,0),3),IF($R$3=3,INDEX('Int. Budget On-Off 3'!$AG$12:$AJ$34,MATCH('Indian Project'!$I21,'Int. Budget On-Off 3'!$AG$12:$AG$34,0),3))))</f>
        <v>0</v>
      </c>
      <c r="L21" s="554" t="str">
        <f>IF($R$3=1,INDEX('Int. Budget On-Off 1'!$AG$12:$AJ$34,MATCH('Indian Project'!$I21,'Int. Budget On-Off 1'!$AG$12:$AG$34,0),4),IF($R$3=2,INDEX('Int. Budget On-Off 2'!$AG$12:$AJ$34,MATCH('Indian Project'!$I21,'Int. Budget On-Off 2'!$AG$12:$AG$34,0),4),IF($R$3=3,INDEX('Int. Budget On-Off 3'!$AG$12:$AJ$34,MATCH('Indian Project'!$I21,'Int. Budget On-Off 3'!$AG$12:$AG$34,0),4))))</f>
        <v>0</v>
      </c>
      <c r="M21" s="498"/>
      <c r="N21" s="483"/>
      <c r="O21" s="483"/>
      <c r="P21" s="483"/>
      <c r="Q21" s="483"/>
      <c r="R21" s="483"/>
    </row>
    <row r="22" spans="1:19">
      <c r="A22" s="587" t="s">
        <v>52</v>
      </c>
      <c r="B22" s="193" t="s">
        <v>53</v>
      </c>
      <c r="C22" s="439"/>
      <c r="D22" s="194" t="s">
        <v>54</v>
      </c>
      <c r="E22" s="518" t="str">
        <f>IF($R$3=1,'Int. Budget On-Off 1'!$AE$29*27%,IF($R$3=2,'Int. Budget On-Off 2'!$AE$29*27%,IF($R$3=3,'Int. Budget On-Off 3'!$AE$29*27%)))</f>
        <v>0</v>
      </c>
      <c r="F22" s="518" t="str">
        <f>IF($R$3=1,'Int. Budget On-Off 1'!$AF$29*30%,IF($R$3=2,'Int. Budget On-Off 2'!$AF$29*30%,IF($R$3=3,'Int. Budget On-Off 3'!$AF$29*30%)))</f>
        <v>0</v>
      </c>
      <c r="G22" s="519" t="str">
        <f>F22</f>
        <v>0</v>
      </c>
      <c r="H22" s="161"/>
      <c r="I22" s="439" t="s">
        <v>124</v>
      </c>
      <c r="J22" s="194" t="s">
        <v>125</v>
      </c>
      <c r="K22" s="518" t="str">
        <f>IF($R$3=1,INDEX('Int. Budget On-Off 1'!$AG$12:$AJ$34,MATCH('Indian Project'!$I22,'Int. Budget On-Off 1'!$AG$12:$AG$34,0),3),IF($R$3=2,INDEX('Int. Budget On-Off 2'!$AG$12:$AJ$34,MATCH('Indian Project'!$I22,'Int. Budget On-Off 2'!$AG$12:$AG$34,0),3),IF($R$3=3,INDEX('Int. Budget On-Off 3'!$AG$12:$AJ$34,MATCH('Indian Project'!$I22,'Int. Budget On-Off 3'!$AG$12:$AG$34,0),3))))</f>
        <v>0</v>
      </c>
      <c r="L22" s="518" t="str">
        <f>IF($R$3=1,INDEX('Int. Budget On-Off 1'!$AG$12:$AJ$34,MATCH('Indian Project'!$I22,'Int. Budget On-Off 1'!$AG$12:$AG$34,0),4),IF($R$3=2,INDEX('Int. Budget On-Off 2'!$AG$12:$AJ$34,MATCH('Indian Project'!$I22,'Int. Budget On-Off 2'!$AG$12:$AG$34,0),4),IF($R$3=3,INDEX('Int. Budget On-Off 3'!$AG$12:$AJ$34,MATCH('Indian Project'!$I22,'Int. Budget On-Off 3'!$AG$12:$AG$34,0),4))))</f>
        <v>0</v>
      </c>
      <c r="M22" s="519" t="str">
        <f>L22</f>
        <v>0</v>
      </c>
      <c r="N22" s="483"/>
      <c r="O22" s="483"/>
      <c r="P22" s="483"/>
      <c r="Q22" s="483"/>
      <c r="R22" s="483"/>
    </row>
    <row r="23" spans="1:19">
      <c r="A23" s="588"/>
      <c r="B23" s="165" t="s">
        <v>53</v>
      </c>
      <c r="C23" s="165"/>
      <c r="D23" s="166" t="s">
        <v>55</v>
      </c>
      <c r="E23" s="520" t="str">
        <f>IF($R$3=1,'Int. Budget On-Off 1'!$AE$29*73%,IF($R$3=2,'Int. Budget On-Off 2'!$AE$29*73%,IF($R$3=3,'Int. Budget On-Off 3'!$AE$29*73%)))</f>
        <v>0</v>
      </c>
      <c r="F23" s="520" t="str">
        <f>IF($R$3=1,'Int. Budget On-Off 1'!$AF$29*70%,IF($R$3=2,'Int. Budget On-Off 2'!$AF$29*70%,IF($R$3=3,'Int. Budget On-Off 3'!$AF$29*70%)))</f>
        <v>0</v>
      </c>
      <c r="G23" s="521" t="str">
        <f>F23</f>
        <v>0</v>
      </c>
      <c r="H23" s="161"/>
      <c r="I23" s="522" t="s">
        <v>126</v>
      </c>
      <c r="J23" s="523" t="s">
        <v>127</v>
      </c>
      <c r="K23" s="524" t="str">
        <f>IF($R$3=1,INDEX('Int. Budget On-Off 1'!$AG$12:$AJ$34,MATCH('Indian Project'!$I23,'Int. Budget On-Off 1'!$AG$12:$AG$34,0),3),IF($R$3=2,INDEX('Int. Budget On-Off 2'!$AG$12:$AJ$34,MATCH('Indian Project'!$I23,'Int. Budget On-Off 2'!$AG$12:$AG$34,0),3),IF($R$3=3,INDEX('Int. Budget On-Off 3'!$AG$12:$AJ$34,MATCH('Indian Project'!$I23,'Int. Budget On-Off 3'!$AG$12:$AG$34,0),3))))</f>
        <v>0</v>
      </c>
      <c r="L23" s="524" t="str">
        <f>IF($R$3=1,INDEX('Int. Budget On-Off 1'!$AG$12:$AJ$34,MATCH('Indian Project'!$I23,'Int. Budget On-Off 1'!$AG$12:$AG$34,0),4),IF($R$3=2,INDEX('Int. Budget On-Off 2'!$AG$12:$AJ$34,MATCH('Indian Project'!$I23,'Int. Budget On-Off 2'!$AG$12:$AG$34,0),4),IF($R$3=3,INDEX('Int. Budget On-Off 3'!$AG$12:$AJ$34,MATCH('Indian Project'!$I23,'Int. Budget On-Off 3'!$AG$12:$AG$34,0),4))))</f>
        <v>0</v>
      </c>
      <c r="M23" s="521" t="str">
        <f>L23</f>
        <v>0</v>
      </c>
      <c r="N23" s="483"/>
      <c r="O23" s="483"/>
      <c r="P23" s="483"/>
      <c r="Q23" s="483"/>
      <c r="R23" s="483"/>
    </row>
    <row r="24" spans="1:19">
      <c r="A24" s="588"/>
      <c r="B24" s="165" t="s">
        <v>53</v>
      </c>
      <c r="C24" s="165"/>
      <c r="D24" s="166" t="s">
        <v>56</v>
      </c>
      <c r="E24" s="520" t="str">
        <f>IF($R$3=1,'Int. Budget On-Off 1'!$AE$31,IF($R$3=2,'Int. Budget On-Off 2'!$AE$31,IF($R$3=3,'Int. Budget On-Off 3'!$AE$31)))</f>
        <v>0</v>
      </c>
      <c r="F24" s="520" t="str">
        <f>IF($R$3=1,'Int. Budget On-Off 1'!$AF$31,IF($R$3=2,'Int. Budget On-Off 2'!$AF$31,IF($R$3=3,'Int. Budget On-Off 3'!$AF$31)))</f>
        <v>0</v>
      </c>
      <c r="G24" s="521" t="str">
        <f>F24</f>
        <v>0</v>
      </c>
      <c r="H24" s="161"/>
      <c r="I24" s="187"/>
      <c r="J24" s="528"/>
      <c r="K24" s="529"/>
      <c r="L24" s="529"/>
      <c r="M24" s="530"/>
      <c r="N24" s="483"/>
      <c r="O24" s="483"/>
      <c r="P24" s="483"/>
      <c r="Q24" s="483"/>
      <c r="R24" s="483"/>
    </row>
    <row r="25" spans="1:19">
      <c r="A25" s="588"/>
      <c r="B25" s="165" t="s">
        <v>53</v>
      </c>
      <c r="C25" s="189"/>
      <c r="D25" s="525" t="s">
        <v>57</v>
      </c>
      <c r="E25" s="526" t="str">
        <f>IF($R$3=1,'Int. Budget On-Off 1'!$AE$32,IF($R$3=2,'Int. Budget On-Off 2'!$AE$32,IF($R$3=3,'Int. Budget On-Off 3'!$AE$32)))</f>
        <v>0</v>
      </c>
      <c r="F25" s="526" t="str">
        <f>IF($R$3=1,'Int. Budget On-Off 1'!$AF$32,IF($R$3=2,'Int. Budget On-Off 2'!$AF$32,IF($R$3=3,'Int. Budget On-Off 3'!$AF$32)))</f>
        <v>0</v>
      </c>
      <c r="G25" s="527" t="str">
        <f>F25</f>
        <v>0</v>
      </c>
      <c r="H25" s="161"/>
      <c r="I25" s="187"/>
      <c r="J25" s="528"/>
      <c r="K25" s="529"/>
      <c r="L25" s="529"/>
      <c r="M25" s="530"/>
      <c r="N25" s="483"/>
      <c r="O25" s="483"/>
      <c r="P25" s="483"/>
      <c r="Q25" s="483"/>
      <c r="R25" s="483"/>
    </row>
    <row r="26" spans="1:19" customHeight="1" ht="15.75">
      <c r="A26" s="589"/>
      <c r="B26" s="198" t="s">
        <v>53</v>
      </c>
      <c r="C26" s="198"/>
      <c r="D26" s="199" t="s">
        <v>58</v>
      </c>
      <c r="E26" s="531" t="str">
        <f>IF($R$3=1,'Int. Budget On-Off 1'!$AE$30,IF($R$3=2,'Int. Budget On-Off 2'!$AE$30,IF($R$3=3,'Int. Budget On-Off 3'!$AE$30)))</f>
        <v>0</v>
      </c>
      <c r="F26" s="531" t="str">
        <f>IF($R$3=1,'Int. Budget On-Off 1'!$AF$30,IF($R$3=2,'Int. Budget On-Off 2'!$AF$30,IF($R$3=3,'Int. Budget On-Off 3'!$AF$30)))</f>
        <v>0</v>
      </c>
      <c r="G26" s="532" t="str">
        <f>F26</f>
        <v>0</v>
      </c>
      <c r="H26" s="161"/>
      <c r="I26" s="188"/>
      <c r="J26" s="533"/>
      <c r="K26" s="534"/>
      <c r="L26" s="534"/>
      <c r="M26" s="535"/>
      <c r="N26" s="483"/>
      <c r="O26" s="483"/>
      <c r="P26" s="483"/>
      <c r="Q26" s="483"/>
      <c r="R26" s="483"/>
    </row>
    <row r="27" spans="1:19" customHeight="1" ht="15.75">
      <c r="A27" s="51"/>
      <c r="B27" s="52"/>
      <c r="C27" s="52"/>
      <c r="D27" s="52" t="s">
        <v>59</v>
      </c>
      <c r="E27" s="191" t="str">
        <f>SUM(E4:E26)</f>
        <v>0</v>
      </c>
      <c r="F27" s="191" t="str">
        <f>SUM(F4:F26)</f>
        <v>0</v>
      </c>
      <c r="G27" s="192" t="str">
        <f>SUM(G4:G26)</f>
        <v>0</v>
      </c>
      <c r="H27" s="161"/>
      <c r="I27" s="477"/>
      <c r="J27" s="52" t="s">
        <v>59</v>
      </c>
      <c r="K27" s="215" t="str">
        <f>SUM(K4:K26)</f>
        <v>0</v>
      </c>
      <c r="L27" s="215" t="str">
        <f>SUM(L4:L26)</f>
        <v>0</v>
      </c>
      <c r="M27" s="216" t="str">
        <f>SUM(M4:M26)</f>
        <v>0</v>
      </c>
      <c r="N27" s="483"/>
      <c r="O27" s="483"/>
      <c r="P27" s="483"/>
      <c r="Q27" s="483"/>
      <c r="R27" s="483"/>
    </row>
    <row r="28" spans="1:19">
      <c r="A28" s="152"/>
      <c r="B28" s="154"/>
      <c r="C28" s="151"/>
      <c r="D28" s="536" t="s">
        <v>60</v>
      </c>
      <c r="E28" s="179" t="str">
        <f>SUM(E22:E26)</f>
        <v>0</v>
      </c>
      <c r="F28" s="179" t="str">
        <f>SUM(F22:F26)</f>
        <v>0</v>
      </c>
      <c r="G28" s="154"/>
      <c r="H28" s="161"/>
      <c r="I28" s="151"/>
      <c r="J28" s="204" t="s">
        <v>62</v>
      </c>
      <c r="K28" s="180" t="str">
        <f>IF($R$3=1,'Int. Budget On-Off 1'!$S$38+'Int. Budget On-Off 1'!AN38,IF($R$3=2,'Int. Budget On-Off 2'!$S$38+'Int. Budget On-Off 2'!AN38,IF($R$3=3,'Int. Budget On-Off 3'!$S$38+'Int. Budget On-Off 3'!AN38)))+K16</f>
        <v>0</v>
      </c>
      <c r="L28" s="180" t="str">
        <f>IF($R$3=1,'Int. Budget On-Off 1'!$T$38+'Int. Budget On-Off 1'!AO38,IF($R$3=2,'Int. Budget On-Off 2'!$T$38+'Int. Budget On-Off 2'!AO38,IF($R$3=3,'Int. Budget On-Off 3'!$T$38+'Int. Budget On-Off 3'!AO38)))+L16</f>
        <v>0</v>
      </c>
      <c r="M28" s="537"/>
      <c r="N28" s="483"/>
      <c r="O28" s="483"/>
      <c r="P28" s="483"/>
      <c r="Q28" s="483"/>
      <c r="R28" s="483"/>
    </row>
    <row r="29" spans="1:19">
      <c r="A29" s="155"/>
      <c r="B29" s="155"/>
      <c r="D29" s="536" t="s">
        <v>128</v>
      </c>
      <c r="E29" s="180" t="str">
        <f>IF($R$3=1,'Int. Budget On-Off 1'!$O$31+'Int. Budget On-Off 1'!$O$32+'Int. Budget On-Off 1'!$O$33+'Int. Budget On-Off 1'!$O$34+'Int. Budget On-Off 1'!$O$36+'Int. Budget On-Off 1'!$O$37+'Int. Budget On-Off 1'!AL33,IF($R$3=2,'Int. Budget On-Off 2'!$O$31+'Int. Budget On-Off 2'!$O$32+'Int. Budget On-Off 2'!$O$33+'Int. Budget On-Off 2'!$O$34+'Int. Budget On-Off 2'!$O$36+'Int. Budget On-Off 2'!$O$37+'Int. Budget On-Off 2'!AL33,IF($R$3=3,'Int. Budget On-Off 3'!$O$31+'Int. Budget On-Off 3'!$O$32+'Int. Budget On-Off 3'!$O$33+'Int. Budget On-Off 3'!$O$34+'Int. Budget On-Off 3'!$O$36+'Int. Budget On-Off 3'!$O$37+'Int. Budget On-Off 3'!AL33)))</f>
        <v>0</v>
      </c>
      <c r="F29" s="180" t="str">
        <f>IF($R$3=1,'Int. Budget On-Off 1'!$P$31+'Int. Budget On-Off 1'!$P$32+'Int. Budget On-Off 1'!$P$33+'Int. Budget On-Off 1'!$P$34+'Int. Budget On-Off 1'!$P$36+'Int. Budget On-Off 1'!$P$37+'Int. Budget On-Off 1'!AM33,IF($R$3=2,'Int. Budget On-Off 2'!$P$31+'Int. Budget On-Off 2'!$P$32+'Int. Budget On-Off 2'!$P$33+'Int. Budget On-Off 2'!$P$34+'Int. Budget On-Off 2'!$P$36+'Int. Budget On-Off 2'!$P$37+'Int. Budget On-Off 2'!AM33,IF($R$3=3,'Int. Budget On-Off 3'!$P$31+'Int. Budget On-Off 3'!$P$32+'Int. Budget On-Off 3'!$P$33+'Int. Budget On-Off 3'!$P$34+'Int. Budget On-Off 3'!$P$36+'Int. Budget On-Off 3'!$P$37+'Int. Budget On-Off 3'!AM33)))</f>
        <v>0</v>
      </c>
      <c r="G29" s="155"/>
      <c r="H29" s="161"/>
      <c r="J29" s="483"/>
      <c r="K29" s="483"/>
      <c r="L29" s="483"/>
      <c r="M29" s="483"/>
      <c r="N29" s="483"/>
      <c r="O29" s="483"/>
      <c r="P29" s="483"/>
      <c r="Q29" s="483"/>
      <c r="R29" s="483"/>
    </row>
    <row r="30" spans="1:19" customHeight="1" ht="15.75">
      <c r="A30" s="155"/>
      <c r="B30" s="155"/>
      <c r="D30" s="538"/>
      <c r="E30" s="538"/>
      <c r="F30" s="155"/>
      <c r="G30" s="155"/>
      <c r="H30" s="161"/>
      <c r="J30" s="483"/>
      <c r="K30" s="483"/>
      <c r="L30" s="483"/>
      <c r="M30" s="483"/>
      <c r="N30" s="483"/>
      <c r="O30" s="483"/>
      <c r="P30" s="483"/>
      <c r="Q30" s="483"/>
      <c r="R30" s="483"/>
    </row>
    <row r="31" spans="1:19" customHeight="1" ht="15.75">
      <c r="A31" s="470" t="s">
        <v>61</v>
      </c>
      <c r="B31" s="471"/>
      <c r="C31" s="471"/>
      <c r="D31" s="472"/>
      <c r="E31" s="191" t="str">
        <f>E27+K27</f>
        <v>0</v>
      </c>
      <c r="F31" s="191" t="str">
        <f>F27+L27</f>
        <v>0</v>
      </c>
      <c r="G31" s="192" t="str">
        <f>G27+M27</f>
        <v>0</v>
      </c>
      <c r="H31" s="161"/>
      <c r="J31" s="483"/>
      <c r="K31" s="483"/>
      <c r="L31" s="483"/>
      <c r="M31" s="483"/>
      <c r="N31" s="483"/>
      <c r="O31" s="483"/>
      <c r="P31" s="483"/>
      <c r="Q31" s="483"/>
      <c r="R31" s="483"/>
    </row>
    <row r="32" spans="1:19">
      <c r="A32" s="155"/>
      <c r="B32" s="155"/>
      <c r="D32" s="204" t="s">
        <v>62</v>
      </c>
      <c r="E32" s="373" t="str">
        <f>'Int. Budget On-Off 1'!E8+'Int. Budget On-Off 1'!AL38+'Int. Budget On-Off 1'!AN38</f>
        <v>0</v>
      </c>
      <c r="F32" s="179" t="str">
        <f>IF($R$3=1,'Int. Budget On-Off 1'!$P$38+'Int. Budget On-Off 1'!$T$38-'Int. Budget On-Off 1'!E6*90%+'Int. Budget On-Off 1'!AM38+'Int. Budget On-Off 1'!AO38,IF($R$3=2,'Int. Budget On-Off 2'!$P$38+'Int. Budget On-Off 2'!$T$38-'Int. Budget On-Off 2'!E6*90%+'Int. Budget On-Off 2'!AM38+'Int. Budget On-Off 2'!AO38,IF($R$3=3,'Int. Budget On-Off 3'!$P$38+'Int. Budget On-Off 3'!$T$38-'Int. Budget On-Off 3'!E6*90%+'Int. Budget On-Off 3'!AM38+'Int. Budget On-Off 3'!AO38)))</f>
        <v>0</v>
      </c>
      <c r="G32" s="155"/>
      <c r="H32" s="162"/>
      <c r="J32" s="539"/>
      <c r="K32" s="483"/>
      <c r="L32" s="483"/>
      <c r="M32" s="483"/>
      <c r="N32" s="483"/>
      <c r="O32" s="483"/>
      <c r="P32" s="483"/>
      <c r="Q32" s="483"/>
      <c r="R32" s="483"/>
    </row>
    <row r="33" spans="1:19">
      <c r="A33" s="155"/>
      <c r="B33" s="155"/>
      <c r="D33" s="155"/>
      <c r="E33" s="155"/>
      <c r="F33" s="155"/>
      <c r="G33" s="155"/>
      <c r="H33" s="154"/>
      <c r="J33" s="483"/>
      <c r="K33" s="483"/>
      <c r="L33" s="483"/>
      <c r="M33" s="483"/>
      <c r="N33" s="483"/>
      <c r="O33" s="483"/>
      <c r="P33" s="483"/>
      <c r="Q33" s="483"/>
      <c r="R33" s="483"/>
    </row>
    <row r="34" spans="1:19">
      <c r="H34" s="155"/>
      <c r="N34" s="483"/>
      <c r="O34" s="483"/>
      <c r="P34" s="483"/>
      <c r="Q34" s="483"/>
      <c r="R34" s="483"/>
    </row>
    <row r="35" spans="1:19">
      <c r="H35" s="155"/>
    </row>
    <row r="36" spans="1:19">
      <c r="H36" s="155"/>
    </row>
    <row r="37" spans="1:19">
      <c r="H37" s="155"/>
    </row>
    <row r="38" spans="1:19">
      <c r="H38" s="1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A26"/>
    <mergeCell ref="P2:R2"/>
    <mergeCell ref="A2:G2"/>
    <mergeCell ref="I2:M2"/>
    <mergeCell ref="P3:Q3"/>
    <mergeCell ref="A9:A12"/>
    <mergeCell ref="A4:A8"/>
    <mergeCell ref="A13:A15"/>
    <mergeCell ref="A17:A20"/>
  </mergeCells>
  <dataValidations count="5">
    <dataValidation type="decimal" operator="greaterThanOrEqual" allowBlank="1" showDropDown="0" showInputMessage="1" showErrorMessage="1" error="Positive number only" sqref="R12">
      <formula1>0</formula1>
    </dataValidation>
    <dataValidation type="decimal" operator="greaterThanOrEqual" allowBlank="1" showDropDown="0" showInputMessage="1" showErrorMessage="1" error="Positive number only" sqref="R13">
      <formula1>0</formula1>
    </dataValidation>
    <dataValidation type="decimal" operator="greaterThanOrEqual" allowBlank="1" showDropDown="0" showInputMessage="1" showErrorMessage="1" error="Positive number only" sqref="R16">
      <formula1>0</formula1>
    </dataValidation>
    <dataValidation type="decimal" operator="greaterThanOrEqual" allowBlank="1" showDropDown="0" showInputMessage="1" showErrorMessage="1" error="Positive number only" sqref="R18">
      <formula1>0</formula1>
    </dataValidation>
    <dataValidation type="whole" allowBlank="1" showDropDown="0" showInputMessage="1" showErrorMessage="1" sqref="R3">
      <formula1>1</formula1>
      <formula2>3</formula2>
    </dataValidation>
  </dataValidations>
  <printOptions gridLines="false" gridLinesSet="true" horizontalCentered="true" verticalCentered="true"/>
  <pageMargins left="0.70866141732283" right="0.70866141732283" top="0.74803149606299" bottom="0.74803149606299" header="0.31496062992126" footer="0.31496062992126"/>
  <pageSetup paperSize="8" orientation="landscape" scale="100" fitToHeight="1" fitToWidth="1"/>
  <headerFooter differentOddEven="false" differentFirst="false" scaleWithDoc="true" alignWithMargins="true">
    <oddHeader>&amp;F</oddHeader>
    <oddFooter/>
    <evenHeader/>
    <evenFooter/>
    <firstHeader/>
    <firstFooter/>
  </headerFooter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LG33"/>
  <sheetViews>
    <sheetView tabSelected="0" workbookViewId="0" zoomScale="90" showGridLines="true" showRowColHeaders="1">
      <selection activeCell="N34" sqref="N34"/>
    </sheetView>
  </sheetViews>
  <sheetFormatPr defaultRowHeight="14.4" defaultColWidth="11.42578125" outlineLevelRow="0" outlineLevelCol="0"/>
  <cols>
    <col min="1" max="1" width="34" customWidth="true" style="206"/>
    <col min="2" max="2" width="11.7109375" customWidth="true" style="206"/>
    <col min="3" max="3" width="12.5703125" customWidth="true" style="206"/>
    <col min="4" max="4" width="14.42578125" customWidth="true" style="206"/>
    <col min="5" max="5" width="13.5703125" customWidth="true" style="206"/>
    <col min="6" max="6" width="16.7109375" customWidth="true" style="206"/>
    <col min="7" max="7" width="13.5703125" customWidth="true" style="206"/>
    <col min="8" max="8" width="13.5703125" customWidth="true" style="206"/>
    <col min="9" max="9" width="11.42578125" style="205"/>
  </cols>
  <sheetData>
    <row r="1" spans="1:995" customHeight="1" ht="12.75" s="212" customFormat="1">
      <c r="A1" s="603" t="s">
        <v>129</v>
      </c>
      <c r="B1" s="603" t="s">
        <v>130</v>
      </c>
      <c r="C1" s="603" t="s">
        <v>131</v>
      </c>
      <c r="D1" s="603" t="s">
        <v>132</v>
      </c>
      <c r="E1" s="605" t="s">
        <v>133</v>
      </c>
      <c r="F1" s="606"/>
      <c r="G1" s="606"/>
      <c r="H1" s="607"/>
    </row>
    <row r="2" spans="1:995" customHeight="1" ht="32.25" s="212" customFormat="1">
      <c r="A2" s="604"/>
      <c r="B2" s="604"/>
      <c r="C2" s="604"/>
      <c r="D2" s="604"/>
      <c r="E2" s="214" t="s">
        <v>134</v>
      </c>
      <c r="F2" s="214" t="s">
        <v>135</v>
      </c>
      <c r="G2" s="214" t="s">
        <v>136</v>
      </c>
      <c r="H2" s="213" t="s">
        <v>137</v>
      </c>
    </row>
    <row r="3" spans="1:995">
      <c r="A3" s="260"/>
      <c r="B3" s="260"/>
      <c r="C3" s="260"/>
      <c r="D3" s="260"/>
      <c r="E3" s="261">
        <v>0</v>
      </c>
      <c r="F3" s="261">
        <v>0</v>
      </c>
      <c r="G3" s="261">
        <v>0</v>
      </c>
      <c r="H3" s="211" t="str">
        <f>SUM(E3:G3)</f>
        <v>0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1:995">
      <c r="A4" s="260"/>
      <c r="B4" s="260"/>
      <c r="C4" s="260"/>
      <c r="D4" s="260"/>
      <c r="E4" s="261">
        <v>0</v>
      </c>
      <c r="F4" s="261">
        <v>0</v>
      </c>
      <c r="G4" s="261">
        <v>0</v>
      </c>
      <c r="H4" s="211" t="str">
        <f>SUM(E4:G4)</f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</row>
    <row r="5" spans="1:995">
      <c r="A5" s="260"/>
      <c r="B5" s="260"/>
      <c r="C5" s="260"/>
      <c r="D5" s="260"/>
      <c r="E5" s="261">
        <v>0</v>
      </c>
      <c r="F5" s="261">
        <v>0</v>
      </c>
      <c r="G5" s="261">
        <v>0</v>
      </c>
      <c r="H5" s="211" t="str">
        <f>SUM(E5:G5)</f>
        <v>0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</row>
    <row r="6" spans="1:995">
      <c r="A6" s="260"/>
      <c r="B6" s="260"/>
      <c r="C6" s="260"/>
      <c r="D6" s="260"/>
      <c r="E6" s="261">
        <v>0</v>
      </c>
      <c r="F6" s="261">
        <v>0</v>
      </c>
      <c r="G6" s="261">
        <v>0</v>
      </c>
      <c r="H6" s="211" t="str">
        <f>SUM(E6:G6)</f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</row>
    <row r="7" spans="1:995">
      <c r="A7" s="260"/>
      <c r="B7" s="260"/>
      <c r="C7" s="260"/>
      <c r="D7" s="260"/>
      <c r="E7" s="261">
        <v>0</v>
      </c>
      <c r="F7" s="261">
        <v>0</v>
      </c>
      <c r="G7" s="261">
        <v>0</v>
      </c>
      <c r="H7" s="211" t="str">
        <f>SUM(E7:G7)</f>
        <v>0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995">
      <c r="A8" s="260"/>
      <c r="B8" s="260"/>
      <c r="C8" s="260"/>
      <c r="D8" s="260"/>
      <c r="E8" s="261">
        <v>0</v>
      </c>
      <c r="F8" s="261">
        <v>0</v>
      </c>
      <c r="G8" s="261">
        <v>0</v>
      </c>
      <c r="H8" s="211" t="str">
        <f>SUM(E8:G8)</f>
        <v>0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</row>
    <row r="9" spans="1:995">
      <c r="A9" s="260"/>
      <c r="B9" s="260"/>
      <c r="C9" s="260"/>
      <c r="D9" s="260"/>
      <c r="E9" s="261">
        <v>0</v>
      </c>
      <c r="F9" s="261">
        <v>0</v>
      </c>
      <c r="G9" s="261">
        <v>0</v>
      </c>
      <c r="H9" s="211" t="str">
        <f>SUM(E9:G9)</f>
        <v>0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</row>
    <row r="10" spans="1:995">
      <c r="A10" s="260"/>
      <c r="B10" s="260"/>
      <c r="C10" s="260"/>
      <c r="D10" s="260"/>
      <c r="E10" s="261">
        <v>0</v>
      </c>
      <c r="F10" s="261">
        <v>0</v>
      </c>
      <c r="G10" s="261">
        <v>0</v>
      </c>
      <c r="H10" s="211" t="str">
        <f>SUM(E10:G10)</f>
        <v>0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</row>
    <row r="11" spans="1:995">
      <c r="A11" s="260"/>
      <c r="B11" s="260"/>
      <c r="C11" s="260"/>
      <c r="D11" s="260"/>
      <c r="E11" s="261">
        <v>0</v>
      </c>
      <c r="F11" s="261">
        <v>0</v>
      </c>
      <c r="G11" s="261">
        <v>0</v>
      </c>
      <c r="H11" s="211" t="str">
        <f>SUM(E11:G11)</f>
        <v>0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</row>
    <row r="12" spans="1:995">
      <c r="A12" s="260"/>
      <c r="B12" s="260"/>
      <c r="C12" s="260"/>
      <c r="D12" s="260"/>
      <c r="E12" s="261">
        <v>0</v>
      </c>
      <c r="F12" s="261">
        <v>0</v>
      </c>
      <c r="G12" s="261">
        <v>0</v>
      </c>
      <c r="H12" s="211" t="str">
        <f>SUM(E12:G12)</f>
        <v>0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</row>
    <row r="13" spans="1:995">
      <c r="A13" s="260"/>
      <c r="B13" s="260"/>
      <c r="C13" s="260"/>
      <c r="D13" s="260"/>
      <c r="E13" s="261">
        <v>0</v>
      </c>
      <c r="F13" s="261">
        <v>0</v>
      </c>
      <c r="G13" s="261">
        <v>0</v>
      </c>
      <c r="H13" s="211" t="str">
        <f>SUM(E13:G13)</f>
        <v>0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</row>
    <row r="14" spans="1:995">
      <c r="A14" s="260"/>
      <c r="B14" s="260"/>
      <c r="C14" s="260"/>
      <c r="D14" s="260"/>
      <c r="E14" s="261">
        <v>0</v>
      </c>
      <c r="F14" s="261">
        <v>0</v>
      </c>
      <c r="G14" s="261">
        <v>0</v>
      </c>
      <c r="H14" s="211" t="str">
        <f>SUM(E14:G14)</f>
        <v>0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</row>
    <row r="15" spans="1:995">
      <c r="A15" s="260"/>
      <c r="B15" s="260"/>
      <c r="C15" s="260"/>
      <c r="D15" s="260"/>
      <c r="E15" s="261">
        <v>0</v>
      </c>
      <c r="F15" s="261">
        <v>0</v>
      </c>
      <c r="G15" s="261">
        <v>0</v>
      </c>
      <c r="H15" s="211" t="str">
        <f>SUM(E15:G15)</f>
        <v>0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</row>
    <row r="16" spans="1:995">
      <c r="A16" s="260"/>
      <c r="B16" s="260"/>
      <c r="C16" s="260"/>
      <c r="D16" s="260"/>
      <c r="E16" s="261">
        <v>0</v>
      </c>
      <c r="F16" s="261">
        <v>0</v>
      </c>
      <c r="G16" s="261">
        <v>0</v>
      </c>
      <c r="H16" s="211" t="str">
        <f>SUM(E16:G16)</f>
        <v>0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</row>
    <row r="17" spans="1:995">
      <c r="A17" s="260"/>
      <c r="B17" s="260"/>
      <c r="C17" s="260"/>
      <c r="D17" s="260"/>
      <c r="E17" s="261">
        <v>0</v>
      </c>
      <c r="F17" s="261">
        <v>0</v>
      </c>
      <c r="G17" s="261">
        <v>0</v>
      </c>
      <c r="H17" s="211" t="str">
        <f>SUM(E17:G17)</f>
        <v>0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</row>
    <row r="18" spans="1:995">
      <c r="A18" s="260"/>
      <c r="B18" s="260"/>
      <c r="C18" s="260"/>
      <c r="D18" s="260"/>
      <c r="E18" s="261">
        <v>0</v>
      </c>
      <c r="F18" s="261">
        <v>0</v>
      </c>
      <c r="G18" s="261">
        <v>0</v>
      </c>
      <c r="H18" s="211" t="str">
        <f>SUM(E18:G18)</f>
        <v>0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</row>
    <row r="19" spans="1:995">
      <c r="A19" s="260"/>
      <c r="B19" s="260"/>
      <c r="C19" s="260"/>
      <c r="D19" s="260"/>
      <c r="E19" s="261">
        <v>0</v>
      </c>
      <c r="F19" s="261">
        <v>0</v>
      </c>
      <c r="G19" s="261">
        <v>0</v>
      </c>
      <c r="H19" s="211" t="str">
        <f>SUM(E19:G19)</f>
        <v>0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</row>
    <row r="20" spans="1:995">
      <c r="A20" s="260"/>
      <c r="B20" s="260"/>
      <c r="C20" s="260"/>
      <c r="D20" s="260"/>
      <c r="E20" s="261">
        <v>0</v>
      </c>
      <c r="F20" s="261">
        <v>0</v>
      </c>
      <c r="G20" s="261">
        <v>0</v>
      </c>
      <c r="H20" s="211" t="str">
        <f>SUM(E20:G20)</f>
        <v>0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</row>
    <row r="21" spans="1:995">
      <c r="A21" s="260"/>
      <c r="B21" s="260"/>
      <c r="C21" s="260"/>
      <c r="D21" s="260"/>
      <c r="E21" s="261">
        <v>0</v>
      </c>
      <c r="F21" s="261">
        <v>0</v>
      </c>
      <c r="G21" s="261">
        <v>0</v>
      </c>
      <c r="H21" s="211" t="str">
        <f>SUM(E21:G21)</f>
        <v>0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</row>
    <row r="22" spans="1:995">
      <c r="A22" s="260"/>
      <c r="B22" s="260"/>
      <c r="C22" s="260"/>
      <c r="D22" s="260"/>
      <c r="E22" s="261">
        <v>0</v>
      </c>
      <c r="F22" s="261">
        <v>0</v>
      </c>
      <c r="G22" s="261">
        <v>0</v>
      </c>
      <c r="H22" s="211" t="str">
        <f>SUM(E22:G22)</f>
        <v>0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</row>
    <row r="23" spans="1:995" s="208" customFormat="1">
      <c r="A23" s="210"/>
      <c r="B23" s="210"/>
      <c r="C23" s="210"/>
      <c r="D23" s="210"/>
      <c r="E23" s="209" t="str">
        <f>SUM(E3:E22)</f>
        <v>0</v>
      </c>
      <c r="F23" s="209" t="str">
        <f>SUM(F3:F22)</f>
        <v>0</v>
      </c>
      <c r="G23" s="209" t="str">
        <f>SUM(G3:G22)</f>
        <v>0</v>
      </c>
      <c r="H23" s="209" t="str">
        <f>SUM(H3:H22)</f>
        <v>0</v>
      </c>
    </row>
    <row r="24" spans="1:995">
      <c r="F24" s="608" t="str">
        <f>F23+G23</f>
        <v>0</v>
      </c>
      <c r="G24" s="609"/>
    </row>
    <row r="25" spans="1:995">
      <c r="A25" s="207" t="s">
        <v>138</v>
      </c>
    </row>
    <row r="26" spans="1:995" customHeight="1" ht="39.75">
      <c r="A26" s="602" t="s">
        <v>139</v>
      </c>
      <c r="B26" s="602"/>
      <c r="C26" s="602"/>
      <c r="D26" s="602"/>
      <c r="E26" s="602"/>
      <c r="F26" s="602"/>
      <c r="G26" s="602"/>
      <c r="H26" s="602"/>
    </row>
    <row r="27" spans="1:995" customHeight="1" ht="52.5">
      <c r="A27" s="205"/>
      <c r="B27" s="205"/>
      <c r="C27" s="205"/>
      <c r="D27" s="205"/>
      <c r="E27" s="205"/>
      <c r="F27" s="205"/>
      <c r="G27" s="205"/>
      <c r="H27" s="205"/>
    </row>
    <row r="28" spans="1:995" customHeight="1" ht="12.75">
      <c r="A28" s="205"/>
      <c r="B28" s="205"/>
      <c r="C28" s="205"/>
      <c r="D28" s="205"/>
      <c r="E28" s="205"/>
      <c r="F28" s="205"/>
      <c r="G28" s="205"/>
      <c r="H28" s="205"/>
    </row>
    <row r="29" spans="1:995">
      <c r="A29" s="205"/>
      <c r="B29" s="205"/>
      <c r="C29" s="205"/>
      <c r="D29" s="205"/>
      <c r="E29" s="205"/>
      <c r="F29" s="205"/>
      <c r="G29" s="205"/>
      <c r="H29" s="205"/>
    </row>
    <row r="30" spans="1:995" customHeight="1" ht="39.75">
      <c r="A30" s="205"/>
      <c r="B30" s="205"/>
      <c r="C30" s="205"/>
      <c r="D30" s="205"/>
      <c r="E30" s="205"/>
      <c r="F30" s="205"/>
      <c r="G30" s="205"/>
      <c r="H30" s="205"/>
    </row>
    <row r="31" spans="1:995" customHeight="1" ht="52.5">
      <c r="A31" s="205"/>
      <c r="B31" s="205"/>
      <c r="C31" s="205"/>
      <c r="D31" s="205"/>
      <c r="E31" s="205"/>
      <c r="F31" s="205"/>
      <c r="G31" s="205"/>
      <c r="H31" s="205"/>
    </row>
    <row r="32" spans="1:995" customHeight="1" ht="38.25">
      <c r="A32" s="205"/>
      <c r="B32" s="205"/>
      <c r="C32" s="205"/>
      <c r="D32" s="205"/>
      <c r="E32" s="205"/>
      <c r="F32" s="205"/>
      <c r="G32" s="205"/>
      <c r="H32" s="205"/>
    </row>
    <row r="33" spans="1:995">
      <c r="A33" s="205"/>
      <c r="B33" s="205"/>
      <c r="C33" s="205"/>
      <c r="D33" s="205"/>
      <c r="E33" s="205"/>
      <c r="F33" s="205"/>
      <c r="G33" s="205"/>
      <c r="H33" s="205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6:H26"/>
    <mergeCell ref="A1:A2"/>
    <mergeCell ref="B1:B2"/>
    <mergeCell ref="D1:D2"/>
    <mergeCell ref="E1:H1"/>
    <mergeCell ref="F24:G24"/>
    <mergeCell ref="C1:C2"/>
  </mergeCells>
  <dataValidations count="2204">
    <dataValidation type="list" allowBlank="1" showDropDown="0" showInputMessage="1" showErrorMessage="1" sqref="C3">
      <formula1>"France,Inde,"</formula1>
    </dataValidation>
    <dataValidation type="list" allowBlank="1" showDropDown="0" showInputMessage="1" showErrorMessage="1" sqref="C4">
      <formula1>"France,Inde,"</formula1>
    </dataValidation>
    <dataValidation type="list" allowBlank="1" showDropDown="0" showInputMessage="1" showErrorMessage="1" sqref="C5">
      <formula1>"France,Inde,"</formula1>
    </dataValidation>
    <dataValidation type="list" allowBlank="1" showDropDown="0" showInputMessage="1" showErrorMessage="1" sqref="C6">
      <formula1>"France,Inde,"</formula1>
    </dataValidation>
    <dataValidation type="list" allowBlank="1" showDropDown="0" showInputMessage="1" showErrorMessage="1" sqref="C7">
      <formula1>"France,Inde,"</formula1>
    </dataValidation>
    <dataValidation type="list" allowBlank="1" showDropDown="0" showInputMessage="1" showErrorMessage="1" sqref="C8">
      <formula1>"France,Inde,"</formula1>
    </dataValidation>
    <dataValidation type="list" allowBlank="1" showDropDown="0" showInputMessage="1" showErrorMessage="1" sqref="C9">
      <formula1>"France,Inde,"</formula1>
    </dataValidation>
    <dataValidation type="list" allowBlank="1" showDropDown="0" showInputMessage="1" showErrorMessage="1" sqref="C10">
      <formula1>"France,Inde,"</formula1>
    </dataValidation>
    <dataValidation type="list" allowBlank="1" showDropDown="0" showInputMessage="1" showErrorMessage="1" sqref="C11">
      <formula1>"France,Inde,"</formula1>
    </dataValidation>
    <dataValidation type="list" allowBlank="1" showDropDown="0" showInputMessage="1" showErrorMessage="1" sqref="C12">
      <formula1>"France,Inde,"</formula1>
    </dataValidation>
    <dataValidation type="list" allowBlank="1" showDropDown="0" showInputMessage="1" showErrorMessage="1" sqref="C13">
      <formula1>"France,Inde,"</formula1>
    </dataValidation>
    <dataValidation type="list" allowBlank="1" showDropDown="0" showInputMessage="1" showErrorMessage="1" sqref="C14">
      <formula1>"France,Inde,"</formula1>
    </dataValidation>
    <dataValidation type="list" allowBlank="1" showDropDown="0" showInputMessage="1" showErrorMessage="1" sqref="C15">
      <formula1>"France,Inde,"</formula1>
    </dataValidation>
    <dataValidation type="list" allowBlank="1" showDropDown="0" showInputMessage="1" showErrorMessage="1" sqref="C16">
      <formula1>"France,Inde,"</formula1>
    </dataValidation>
    <dataValidation type="list" allowBlank="1" showDropDown="0" showInputMessage="1" showErrorMessage="1" sqref="C17">
      <formula1>"France,Inde,"</formula1>
    </dataValidation>
    <dataValidation type="list" allowBlank="1" showDropDown="0" showInputMessage="1" showErrorMessage="1" sqref="C18">
      <formula1>"France,Inde,"</formula1>
    </dataValidation>
    <dataValidation type="list" allowBlank="1" showDropDown="0" showInputMessage="1" showErrorMessage="1" sqref="C19">
      <formula1>"France,Inde,"</formula1>
    </dataValidation>
    <dataValidation type="list" allowBlank="1" showDropDown="0" showInputMessage="1" showErrorMessage="1" sqref="C20">
      <formula1>"France,Inde,"</formula1>
    </dataValidation>
    <dataValidation type="list" allowBlank="1" showDropDown="0" showInputMessage="1" showErrorMessage="1" sqref="C21">
      <formula1>"France,Inde,"</formula1>
    </dataValidation>
    <dataValidation type="list" allowBlank="1" showDropDown="0" showInputMessage="1" showErrorMessage="1" sqref="C22">
      <formula1>"France,Inde,"</formula1>
    </dataValidation>
    <dataValidation type="list" allowBlank="1" showDropDown="0" showInputMessage="1" showErrorMessage="1" sqref="J3">
      <formula1>"France,Inde,"</formula1>
    </dataValidation>
    <dataValidation type="list" allowBlank="1" showDropDown="0" showInputMessage="1" showErrorMessage="1" sqref="J4">
      <formula1>"France,Inde,"</formula1>
    </dataValidation>
    <dataValidation type="list" allowBlank="1" showDropDown="0" showInputMessage="1" showErrorMessage="1" sqref="J5">
      <formula1>"France,Inde,"</formula1>
    </dataValidation>
    <dataValidation type="list" allowBlank="1" showDropDown="0" showInputMessage="1" showErrorMessage="1" sqref="J6">
      <formula1>"France,Inde,"</formula1>
    </dataValidation>
    <dataValidation type="list" allowBlank="1" showDropDown="0" showInputMessage="1" showErrorMessage="1" sqref="J7">
      <formula1>"France,Inde,"</formula1>
    </dataValidation>
    <dataValidation type="list" allowBlank="1" showDropDown="0" showInputMessage="1" showErrorMessage="1" sqref="J8">
      <formula1>"France,Inde,"</formula1>
    </dataValidation>
    <dataValidation type="list" allowBlank="1" showDropDown="0" showInputMessage="1" showErrorMessage="1" sqref="J9">
      <formula1>"France,Inde,"</formula1>
    </dataValidation>
    <dataValidation type="list" allowBlank="1" showDropDown="0" showInputMessage="1" showErrorMessage="1" sqref="J10">
      <formula1>"France,Inde,"</formula1>
    </dataValidation>
    <dataValidation type="list" allowBlank="1" showDropDown="0" showInputMessage="1" showErrorMessage="1" sqref="J11">
      <formula1>"France,Inde,"</formula1>
    </dataValidation>
    <dataValidation type="list" allowBlank="1" showDropDown="0" showInputMessage="1" showErrorMessage="1" sqref="J12">
      <formula1>"France,Inde,"</formula1>
    </dataValidation>
    <dataValidation type="list" allowBlank="1" showDropDown="0" showInputMessage="1" showErrorMessage="1" sqref="J13">
      <formula1>"France,Inde,"</formula1>
    </dataValidation>
    <dataValidation type="list" allowBlank="1" showDropDown="0" showInputMessage="1" showErrorMessage="1" sqref="J14">
      <formula1>"France,Inde,"</formula1>
    </dataValidation>
    <dataValidation type="list" allowBlank="1" showDropDown="0" showInputMessage="1" showErrorMessage="1" sqref="J15">
      <formula1>"France,Inde,"</formula1>
    </dataValidation>
    <dataValidation type="list" allowBlank="1" showDropDown="0" showInputMessage="1" showErrorMessage="1" sqref="J16">
      <formula1>"France,Inde,"</formula1>
    </dataValidation>
    <dataValidation type="list" allowBlank="1" showDropDown="0" showInputMessage="1" showErrorMessage="1" sqref="J17">
      <formula1>"France,Inde,"</formula1>
    </dataValidation>
    <dataValidation type="list" allowBlank="1" showDropDown="0" showInputMessage="1" showErrorMessage="1" sqref="J18">
      <formula1>"France,Inde,"</formula1>
    </dataValidation>
    <dataValidation type="list" allowBlank="1" showDropDown="0" showInputMessage="1" showErrorMessage="1" sqref="J19">
      <formula1>"France,Inde,"</formula1>
    </dataValidation>
    <dataValidation type="list" allowBlank="1" showDropDown="0" showInputMessage="1" showErrorMessage="1" sqref="J20">
      <formula1>"France,Inde,"</formula1>
    </dataValidation>
    <dataValidation type="list" allowBlank="1" showDropDown="0" showInputMessage="1" showErrorMessage="1" sqref="J21">
      <formula1>"France,Inde,"</formula1>
    </dataValidation>
    <dataValidation type="list" allowBlank="1" showDropDown="0" showInputMessage="1" showErrorMessage="1" sqref="J22">
      <formula1>"France,Inde,"</formula1>
    </dataValidation>
    <dataValidation type="list" allowBlank="1" showDropDown="0" showInputMessage="1" showErrorMessage="1" sqref="K3">
      <formula1>"France,Inde,"</formula1>
    </dataValidation>
    <dataValidation type="list" allowBlank="1" showDropDown="0" showInputMessage="1" showErrorMessage="1" sqref="K4">
      <formula1>"France,Inde,"</formula1>
    </dataValidation>
    <dataValidation type="list" allowBlank="1" showDropDown="0" showInputMessage="1" showErrorMessage="1" sqref="K5">
      <formula1>"France,Inde,"</formula1>
    </dataValidation>
    <dataValidation type="list" allowBlank="1" showDropDown="0" showInputMessage="1" showErrorMessage="1" sqref="K6">
      <formula1>"France,Inde,"</formula1>
    </dataValidation>
    <dataValidation type="list" allowBlank="1" showDropDown="0" showInputMessage="1" showErrorMessage="1" sqref="K7">
      <formula1>"France,Inde,"</formula1>
    </dataValidation>
    <dataValidation type="list" allowBlank="1" showDropDown="0" showInputMessage="1" showErrorMessage="1" sqref="K8">
      <formula1>"France,Inde,"</formula1>
    </dataValidation>
    <dataValidation type="list" allowBlank="1" showDropDown="0" showInputMessage="1" showErrorMessage="1" sqref="K9">
      <formula1>"France,Inde,"</formula1>
    </dataValidation>
    <dataValidation type="list" allowBlank="1" showDropDown="0" showInputMessage="1" showErrorMessage="1" sqref="K10">
      <formula1>"France,Inde,"</formula1>
    </dataValidation>
    <dataValidation type="list" allowBlank="1" showDropDown="0" showInputMessage="1" showErrorMessage="1" sqref="K11">
      <formula1>"France,Inde,"</formula1>
    </dataValidation>
    <dataValidation type="list" allowBlank="1" showDropDown="0" showInputMessage="1" showErrorMessage="1" sqref="K12">
      <formula1>"France,Inde,"</formula1>
    </dataValidation>
    <dataValidation type="list" allowBlank="1" showDropDown="0" showInputMessage="1" showErrorMessage="1" sqref="K13">
      <formula1>"France,Inde,"</formula1>
    </dataValidation>
    <dataValidation type="list" allowBlank="1" showDropDown="0" showInputMessage="1" showErrorMessage="1" sqref="K14">
      <formula1>"France,Inde,"</formula1>
    </dataValidation>
    <dataValidation type="list" allowBlank="1" showDropDown="0" showInputMessage="1" showErrorMessage="1" sqref="K15">
      <formula1>"France,Inde,"</formula1>
    </dataValidation>
    <dataValidation type="list" allowBlank="1" showDropDown="0" showInputMessage="1" showErrorMessage="1" sqref="K16">
      <formula1>"France,Inde,"</formula1>
    </dataValidation>
    <dataValidation type="list" allowBlank="1" showDropDown="0" showInputMessage="1" showErrorMessage="1" sqref="K17">
      <formula1>"France,Inde,"</formula1>
    </dataValidation>
    <dataValidation type="list" allowBlank="1" showDropDown="0" showInputMessage="1" showErrorMessage="1" sqref="K18">
      <formula1>"France,Inde,"</formula1>
    </dataValidation>
    <dataValidation type="list" allowBlank="1" showDropDown="0" showInputMessage="1" showErrorMessage="1" sqref="K19">
      <formula1>"France,Inde,"</formula1>
    </dataValidation>
    <dataValidation type="list" allowBlank="1" showDropDown="0" showInputMessage="1" showErrorMessage="1" sqref="K20">
      <formula1>"France,Inde,"</formula1>
    </dataValidation>
    <dataValidation type="list" allowBlank="1" showDropDown="0" showInputMessage="1" showErrorMessage="1" sqref="K21">
      <formula1>"France,Inde,"</formula1>
    </dataValidation>
    <dataValidation type="list" allowBlank="1" showDropDown="0" showInputMessage="1" showErrorMessage="1" sqref="K22">
      <formula1>"France,Inde,"</formula1>
    </dataValidation>
    <dataValidation type="list" allowBlank="1" showDropDown="0" showInputMessage="1" showErrorMessage="1" sqref="L3">
      <formula1>"France,Inde,"</formula1>
    </dataValidation>
    <dataValidation type="list" allowBlank="1" showDropDown="0" showInputMessage="1" showErrorMessage="1" sqref="L4">
      <formula1>"France,Inde,"</formula1>
    </dataValidation>
    <dataValidation type="list" allowBlank="1" showDropDown="0" showInputMessage="1" showErrorMessage="1" sqref="L5">
      <formula1>"France,Inde,"</formula1>
    </dataValidation>
    <dataValidation type="list" allowBlank="1" showDropDown="0" showInputMessage="1" showErrorMessage="1" sqref="L6">
      <formula1>"France,Inde,"</formula1>
    </dataValidation>
    <dataValidation type="list" allowBlank="1" showDropDown="0" showInputMessage="1" showErrorMessage="1" sqref="L7">
      <formula1>"France,Inde,"</formula1>
    </dataValidation>
    <dataValidation type="list" allowBlank="1" showDropDown="0" showInputMessage="1" showErrorMessage="1" sqref="L8">
      <formula1>"France,Inde,"</formula1>
    </dataValidation>
    <dataValidation type="list" allowBlank="1" showDropDown="0" showInputMessage="1" showErrorMessage="1" sqref="L9">
      <formula1>"France,Inde,"</formula1>
    </dataValidation>
    <dataValidation type="list" allowBlank="1" showDropDown="0" showInputMessage="1" showErrorMessage="1" sqref="L10">
      <formula1>"France,Inde,"</formula1>
    </dataValidation>
    <dataValidation type="list" allowBlank="1" showDropDown="0" showInputMessage="1" showErrorMessage="1" sqref="L11">
      <formula1>"France,Inde,"</formula1>
    </dataValidation>
    <dataValidation type="list" allowBlank="1" showDropDown="0" showInputMessage="1" showErrorMessage="1" sqref="L12">
      <formula1>"France,Inde,"</formula1>
    </dataValidation>
    <dataValidation type="list" allowBlank="1" showDropDown="0" showInputMessage="1" showErrorMessage="1" sqref="L13">
      <formula1>"France,Inde,"</formula1>
    </dataValidation>
    <dataValidation type="list" allowBlank="1" showDropDown="0" showInputMessage="1" showErrorMessage="1" sqref="L14">
      <formula1>"France,Inde,"</formula1>
    </dataValidation>
    <dataValidation type="list" allowBlank="1" showDropDown="0" showInputMessage="1" showErrorMessage="1" sqref="L15">
      <formula1>"France,Inde,"</formula1>
    </dataValidation>
    <dataValidation type="list" allowBlank="1" showDropDown="0" showInputMessage="1" showErrorMessage="1" sqref="L16">
      <formula1>"France,Inde,"</formula1>
    </dataValidation>
    <dataValidation type="list" allowBlank="1" showDropDown="0" showInputMessage="1" showErrorMessage="1" sqref="L17">
      <formula1>"France,Inde,"</formula1>
    </dataValidation>
    <dataValidation type="list" allowBlank="1" showDropDown="0" showInputMessage="1" showErrorMessage="1" sqref="L18">
      <formula1>"France,Inde,"</formula1>
    </dataValidation>
    <dataValidation type="list" allowBlank="1" showDropDown="0" showInputMessage="1" showErrorMessage="1" sqref="L19">
      <formula1>"France,Inde,"</formula1>
    </dataValidation>
    <dataValidation type="list" allowBlank="1" showDropDown="0" showInputMessage="1" showErrorMessage="1" sqref="L20">
      <formula1>"France,Inde,"</formula1>
    </dataValidation>
    <dataValidation type="list" allowBlank="1" showDropDown="0" showInputMessage="1" showErrorMessage="1" sqref="L21">
      <formula1>"France,Inde,"</formula1>
    </dataValidation>
    <dataValidation type="list" allowBlank="1" showDropDown="0" showInputMessage="1" showErrorMessage="1" sqref="L22">
      <formula1>"France,Inde,"</formula1>
    </dataValidation>
    <dataValidation type="list" allowBlank="1" showDropDown="0" showInputMessage="1" showErrorMessage="1" sqref="M3">
      <formula1>"France,Inde,"</formula1>
    </dataValidation>
    <dataValidation type="list" allowBlank="1" showDropDown="0" showInputMessage="1" showErrorMessage="1" sqref="M4">
      <formula1>"France,Inde,"</formula1>
    </dataValidation>
    <dataValidation type="list" allowBlank="1" showDropDown="0" showInputMessage="1" showErrorMessage="1" sqref="M5">
      <formula1>"France,Inde,"</formula1>
    </dataValidation>
    <dataValidation type="list" allowBlank="1" showDropDown="0" showInputMessage="1" showErrorMessage="1" sqref="M6">
      <formula1>"France,Inde,"</formula1>
    </dataValidation>
    <dataValidation type="list" allowBlank="1" showDropDown="0" showInputMessage="1" showErrorMessage="1" sqref="M7">
      <formula1>"France,Inde,"</formula1>
    </dataValidation>
    <dataValidation type="list" allowBlank="1" showDropDown="0" showInputMessage="1" showErrorMessage="1" sqref="M8">
      <formula1>"France,Inde,"</formula1>
    </dataValidation>
    <dataValidation type="list" allowBlank="1" showDropDown="0" showInputMessage="1" showErrorMessage="1" sqref="M9">
      <formula1>"France,Inde,"</formula1>
    </dataValidation>
    <dataValidation type="list" allowBlank="1" showDropDown="0" showInputMessage="1" showErrorMessage="1" sqref="M10">
      <formula1>"France,Inde,"</formula1>
    </dataValidation>
    <dataValidation type="list" allowBlank="1" showDropDown="0" showInputMessage="1" showErrorMessage="1" sqref="M11">
      <formula1>"France,Inde,"</formula1>
    </dataValidation>
    <dataValidation type="list" allowBlank="1" showDropDown="0" showInputMessage="1" showErrorMessage="1" sqref="M12">
      <formula1>"France,Inde,"</formula1>
    </dataValidation>
    <dataValidation type="list" allowBlank="1" showDropDown="0" showInputMessage="1" showErrorMessage="1" sqref="M13">
      <formula1>"France,Inde,"</formula1>
    </dataValidation>
    <dataValidation type="list" allowBlank="1" showDropDown="0" showInputMessage="1" showErrorMessage="1" sqref="M14">
      <formula1>"France,Inde,"</formula1>
    </dataValidation>
    <dataValidation type="list" allowBlank="1" showDropDown="0" showInputMessage="1" showErrorMessage="1" sqref="M15">
      <formula1>"France,Inde,"</formula1>
    </dataValidation>
    <dataValidation type="list" allowBlank="1" showDropDown="0" showInputMessage="1" showErrorMessage="1" sqref="M16">
      <formula1>"France,Inde,"</formula1>
    </dataValidation>
    <dataValidation type="list" allowBlank="1" showDropDown="0" showInputMessage="1" showErrorMessage="1" sqref="M17">
      <formula1>"France,Inde,"</formula1>
    </dataValidation>
    <dataValidation type="list" allowBlank="1" showDropDown="0" showInputMessage="1" showErrorMessage="1" sqref="M18">
      <formula1>"France,Inde,"</formula1>
    </dataValidation>
    <dataValidation type="list" allowBlank="1" showDropDown="0" showInputMessage="1" showErrorMessage="1" sqref="M19">
      <formula1>"France,Inde,"</formula1>
    </dataValidation>
    <dataValidation type="list" allowBlank="1" showDropDown="0" showInputMessage="1" showErrorMessage="1" sqref="M20">
      <formula1>"France,Inde,"</formula1>
    </dataValidation>
    <dataValidation type="list" allowBlank="1" showDropDown="0" showInputMessage="1" showErrorMessage="1" sqref="M21">
      <formula1>"France,Inde,"</formula1>
    </dataValidation>
    <dataValidation type="list" allowBlank="1" showDropDown="0" showInputMessage="1" showErrorMessage="1" sqref="M22">
      <formula1>"France,Inde,"</formula1>
    </dataValidation>
    <dataValidation type="list" allowBlank="1" showDropDown="0" showInputMessage="1" showErrorMessage="1" sqref="N3">
      <formula1>"France,Inde,"</formula1>
    </dataValidation>
    <dataValidation type="list" allowBlank="1" showDropDown="0" showInputMessage="1" showErrorMessage="1" sqref="N4">
      <formula1>"France,Inde,"</formula1>
    </dataValidation>
    <dataValidation type="list" allowBlank="1" showDropDown="0" showInputMessage="1" showErrorMessage="1" sqref="N5">
      <formula1>"France,Inde,"</formula1>
    </dataValidation>
    <dataValidation type="list" allowBlank="1" showDropDown="0" showInputMessage="1" showErrorMessage="1" sqref="N6">
      <formula1>"France,Inde,"</formula1>
    </dataValidation>
    <dataValidation type="list" allowBlank="1" showDropDown="0" showInputMessage="1" showErrorMessage="1" sqref="N7">
      <formula1>"France,Inde,"</formula1>
    </dataValidation>
    <dataValidation type="list" allowBlank="1" showDropDown="0" showInputMessage="1" showErrorMessage="1" sqref="N8">
      <formula1>"France,Inde,"</formula1>
    </dataValidation>
    <dataValidation type="list" allowBlank="1" showDropDown="0" showInputMessage="1" showErrorMessage="1" sqref="N9">
      <formula1>"France,Inde,"</formula1>
    </dataValidation>
    <dataValidation type="list" allowBlank="1" showDropDown="0" showInputMessage="1" showErrorMessage="1" sqref="N10">
      <formula1>"France,Inde,"</formula1>
    </dataValidation>
    <dataValidation type="list" allowBlank="1" showDropDown="0" showInputMessage="1" showErrorMessage="1" sqref="N11">
      <formula1>"France,Inde,"</formula1>
    </dataValidation>
    <dataValidation type="list" allowBlank="1" showDropDown="0" showInputMessage="1" showErrorMessage="1" sqref="N12">
      <formula1>"France,Inde,"</formula1>
    </dataValidation>
    <dataValidation type="list" allowBlank="1" showDropDown="0" showInputMessage="1" showErrorMessage="1" sqref="N13">
      <formula1>"France,Inde,"</formula1>
    </dataValidation>
    <dataValidation type="list" allowBlank="1" showDropDown="0" showInputMessage="1" showErrorMessage="1" sqref="N14">
      <formula1>"France,Inde,"</formula1>
    </dataValidation>
    <dataValidation type="list" allowBlank="1" showDropDown="0" showInputMessage="1" showErrorMessage="1" sqref="N15">
      <formula1>"France,Inde,"</formula1>
    </dataValidation>
    <dataValidation type="list" allowBlank="1" showDropDown="0" showInputMessage="1" showErrorMessage="1" sqref="N16">
      <formula1>"France,Inde,"</formula1>
    </dataValidation>
    <dataValidation type="list" allowBlank="1" showDropDown="0" showInputMessage="1" showErrorMessage="1" sqref="N17">
      <formula1>"France,Inde,"</formula1>
    </dataValidation>
    <dataValidation type="list" allowBlank="1" showDropDown="0" showInputMessage="1" showErrorMessage="1" sqref="N18">
      <formula1>"France,Inde,"</formula1>
    </dataValidation>
    <dataValidation type="list" allowBlank="1" showDropDown="0" showInputMessage="1" showErrorMessage="1" sqref="N19">
      <formula1>"France,Inde,"</formula1>
    </dataValidation>
    <dataValidation type="list" allowBlank="1" showDropDown="0" showInputMessage="1" showErrorMessage="1" sqref="N20">
      <formula1>"France,Inde,"</formula1>
    </dataValidation>
    <dataValidation type="list" allowBlank="1" showDropDown="0" showInputMessage="1" showErrorMessage="1" sqref="N21">
      <formula1>"France,Inde,"</formula1>
    </dataValidation>
    <dataValidation type="list" allowBlank="1" showDropDown="0" showInputMessage="1" showErrorMessage="1" sqref="N22">
      <formula1>"France,Inde,"</formula1>
    </dataValidation>
    <dataValidation type="list" allowBlank="1" showDropDown="0" showInputMessage="1" showErrorMessage="1" sqref="O3">
      <formula1>"France,Inde,"</formula1>
    </dataValidation>
    <dataValidation type="list" allowBlank="1" showDropDown="0" showInputMessage="1" showErrorMessage="1" sqref="O4">
      <formula1>"France,Inde,"</formula1>
    </dataValidation>
    <dataValidation type="list" allowBlank="1" showDropDown="0" showInputMessage="1" showErrorMessage="1" sqref="O5">
      <formula1>"France,Inde,"</formula1>
    </dataValidation>
    <dataValidation type="list" allowBlank="1" showDropDown="0" showInputMessage="1" showErrorMessage="1" sqref="O6">
      <formula1>"France,Inde,"</formula1>
    </dataValidation>
    <dataValidation type="list" allowBlank="1" showDropDown="0" showInputMessage="1" showErrorMessage="1" sqref="O7">
      <formula1>"France,Inde,"</formula1>
    </dataValidation>
    <dataValidation type="list" allowBlank="1" showDropDown="0" showInputMessage="1" showErrorMessage="1" sqref="O8">
      <formula1>"France,Inde,"</formula1>
    </dataValidation>
    <dataValidation type="list" allowBlank="1" showDropDown="0" showInputMessage="1" showErrorMessage="1" sqref="O9">
      <formula1>"France,Inde,"</formula1>
    </dataValidation>
    <dataValidation type="list" allowBlank="1" showDropDown="0" showInputMessage="1" showErrorMessage="1" sqref="O10">
      <formula1>"France,Inde,"</formula1>
    </dataValidation>
    <dataValidation type="list" allowBlank="1" showDropDown="0" showInputMessage="1" showErrorMessage="1" sqref="O11">
      <formula1>"France,Inde,"</formula1>
    </dataValidation>
    <dataValidation type="list" allowBlank="1" showDropDown="0" showInputMessage="1" showErrorMessage="1" sqref="O12">
      <formula1>"France,Inde,"</formula1>
    </dataValidation>
    <dataValidation type="list" allowBlank="1" showDropDown="0" showInputMessage="1" showErrorMessage="1" sqref="O13">
      <formula1>"France,Inde,"</formula1>
    </dataValidation>
    <dataValidation type="list" allowBlank="1" showDropDown="0" showInputMessage="1" showErrorMessage="1" sqref="O14">
      <formula1>"France,Inde,"</formula1>
    </dataValidation>
    <dataValidation type="list" allowBlank="1" showDropDown="0" showInputMessage="1" showErrorMessage="1" sqref="O15">
      <formula1>"France,Inde,"</formula1>
    </dataValidation>
    <dataValidation type="list" allowBlank="1" showDropDown="0" showInputMessage="1" showErrorMessage="1" sqref="O16">
      <formula1>"France,Inde,"</formula1>
    </dataValidation>
    <dataValidation type="list" allowBlank="1" showDropDown="0" showInputMessage="1" showErrorMessage="1" sqref="O17">
      <formula1>"France,Inde,"</formula1>
    </dataValidation>
    <dataValidation type="list" allowBlank="1" showDropDown="0" showInputMessage="1" showErrorMessage="1" sqref="O18">
      <formula1>"France,Inde,"</formula1>
    </dataValidation>
    <dataValidation type="list" allowBlank="1" showDropDown="0" showInputMessage="1" showErrorMessage="1" sqref="O19">
      <formula1>"France,Inde,"</formula1>
    </dataValidation>
    <dataValidation type="list" allowBlank="1" showDropDown="0" showInputMessage="1" showErrorMessage="1" sqref="O20">
      <formula1>"France,Inde,"</formula1>
    </dataValidation>
    <dataValidation type="list" allowBlank="1" showDropDown="0" showInputMessage="1" showErrorMessage="1" sqref="O21">
      <formula1>"France,Inde,"</formula1>
    </dataValidation>
    <dataValidation type="list" allowBlank="1" showDropDown="0" showInputMessage="1" showErrorMessage="1" sqref="O22">
      <formula1>"France,Inde,"</formula1>
    </dataValidation>
    <dataValidation type="list" allowBlank="1" showDropDown="0" showInputMessage="1" showErrorMessage="1" sqref="P3">
      <formula1>"France,Inde,"</formula1>
    </dataValidation>
    <dataValidation type="list" allowBlank="1" showDropDown="0" showInputMessage="1" showErrorMessage="1" sqref="P4">
      <formula1>"France,Inde,"</formula1>
    </dataValidation>
    <dataValidation type="list" allowBlank="1" showDropDown="0" showInputMessage="1" showErrorMessage="1" sqref="P5">
      <formula1>"France,Inde,"</formula1>
    </dataValidation>
    <dataValidation type="list" allowBlank="1" showDropDown="0" showInputMessage="1" showErrorMessage="1" sqref="P6">
      <formula1>"France,Inde,"</formula1>
    </dataValidation>
    <dataValidation type="list" allowBlank="1" showDropDown="0" showInputMessage="1" showErrorMessage="1" sqref="P7">
      <formula1>"France,Inde,"</formula1>
    </dataValidation>
    <dataValidation type="list" allowBlank="1" showDropDown="0" showInputMessage="1" showErrorMessage="1" sqref="P8">
      <formula1>"France,Inde,"</formula1>
    </dataValidation>
    <dataValidation type="list" allowBlank="1" showDropDown="0" showInputMessage="1" showErrorMessage="1" sqref="P9">
      <formula1>"France,Inde,"</formula1>
    </dataValidation>
    <dataValidation type="list" allowBlank="1" showDropDown="0" showInputMessage="1" showErrorMessage="1" sqref="P10">
      <formula1>"France,Inde,"</formula1>
    </dataValidation>
    <dataValidation type="list" allowBlank="1" showDropDown="0" showInputMessage="1" showErrorMessage="1" sqref="P11">
      <formula1>"France,Inde,"</formula1>
    </dataValidation>
    <dataValidation type="list" allowBlank="1" showDropDown="0" showInputMessage="1" showErrorMessage="1" sqref="P12">
      <formula1>"France,Inde,"</formula1>
    </dataValidation>
    <dataValidation type="list" allowBlank="1" showDropDown="0" showInputMessage="1" showErrorMessage="1" sqref="P13">
      <formula1>"France,Inde,"</formula1>
    </dataValidation>
    <dataValidation type="list" allowBlank="1" showDropDown="0" showInputMessage="1" showErrorMessage="1" sqref="P14">
      <formula1>"France,Inde,"</formula1>
    </dataValidation>
    <dataValidation type="list" allowBlank="1" showDropDown="0" showInputMessage="1" showErrorMessage="1" sqref="P15">
      <formula1>"France,Inde,"</formula1>
    </dataValidation>
    <dataValidation type="list" allowBlank="1" showDropDown="0" showInputMessage="1" showErrorMessage="1" sqref="P16">
      <formula1>"France,Inde,"</formula1>
    </dataValidation>
    <dataValidation type="list" allowBlank="1" showDropDown="0" showInputMessage="1" showErrorMessage="1" sqref="P17">
      <formula1>"France,Inde,"</formula1>
    </dataValidation>
    <dataValidation type="list" allowBlank="1" showDropDown="0" showInputMessage="1" showErrorMessage="1" sqref="P18">
      <formula1>"France,Inde,"</formula1>
    </dataValidation>
    <dataValidation type="list" allowBlank="1" showDropDown="0" showInputMessage="1" showErrorMessage="1" sqref="P19">
      <formula1>"France,Inde,"</formula1>
    </dataValidation>
    <dataValidation type="list" allowBlank="1" showDropDown="0" showInputMessage="1" showErrorMessage="1" sqref="P20">
      <formula1>"France,Inde,"</formula1>
    </dataValidation>
    <dataValidation type="list" allowBlank="1" showDropDown="0" showInputMessage="1" showErrorMessage="1" sqref="P21">
      <formula1>"France,Inde,"</formula1>
    </dataValidation>
    <dataValidation type="list" allowBlank="1" showDropDown="0" showInputMessage="1" showErrorMessage="1" sqref="P22">
      <formula1>"France,Inde,"</formula1>
    </dataValidation>
    <dataValidation type="list" allowBlank="1" showDropDown="0" showInputMessage="1" showErrorMessage="1" sqref="Q3">
      <formula1>"France,Inde,"</formula1>
    </dataValidation>
    <dataValidation type="list" allowBlank="1" showDropDown="0" showInputMessage="1" showErrorMessage="1" sqref="Q4">
      <formula1>"France,Inde,"</formula1>
    </dataValidation>
    <dataValidation type="list" allowBlank="1" showDropDown="0" showInputMessage="1" showErrorMessage="1" sqref="Q5">
      <formula1>"France,Inde,"</formula1>
    </dataValidation>
    <dataValidation type="list" allowBlank="1" showDropDown="0" showInputMessage="1" showErrorMessage="1" sqref="Q6">
      <formula1>"France,Inde,"</formula1>
    </dataValidation>
    <dataValidation type="list" allowBlank="1" showDropDown="0" showInputMessage="1" showErrorMessage="1" sqref="Q7">
      <formula1>"France,Inde,"</formula1>
    </dataValidation>
    <dataValidation type="list" allowBlank="1" showDropDown="0" showInputMessage="1" showErrorMessage="1" sqref="Q8">
      <formula1>"France,Inde,"</formula1>
    </dataValidation>
    <dataValidation type="list" allowBlank="1" showDropDown="0" showInputMessage="1" showErrorMessage="1" sqref="Q9">
      <formula1>"France,Inde,"</formula1>
    </dataValidation>
    <dataValidation type="list" allowBlank="1" showDropDown="0" showInputMessage="1" showErrorMessage="1" sqref="Q10">
      <formula1>"France,Inde,"</formula1>
    </dataValidation>
    <dataValidation type="list" allowBlank="1" showDropDown="0" showInputMessage="1" showErrorMessage="1" sqref="Q11">
      <formula1>"France,Inde,"</formula1>
    </dataValidation>
    <dataValidation type="list" allowBlank="1" showDropDown="0" showInputMessage="1" showErrorMessage="1" sqref="Q12">
      <formula1>"France,Inde,"</formula1>
    </dataValidation>
    <dataValidation type="list" allowBlank="1" showDropDown="0" showInputMessage="1" showErrorMessage="1" sqref="Q13">
      <formula1>"France,Inde,"</formula1>
    </dataValidation>
    <dataValidation type="list" allowBlank="1" showDropDown="0" showInputMessage="1" showErrorMessage="1" sqref="Q14">
      <formula1>"France,Inde,"</formula1>
    </dataValidation>
    <dataValidation type="list" allowBlank="1" showDropDown="0" showInputMessage="1" showErrorMessage="1" sqref="Q15">
      <formula1>"France,Inde,"</formula1>
    </dataValidation>
    <dataValidation type="list" allowBlank="1" showDropDown="0" showInputMessage="1" showErrorMessage="1" sqref="Q16">
      <formula1>"France,Inde,"</formula1>
    </dataValidation>
    <dataValidation type="list" allowBlank="1" showDropDown="0" showInputMessage="1" showErrorMessage="1" sqref="Q17">
      <formula1>"France,Inde,"</formula1>
    </dataValidation>
    <dataValidation type="list" allowBlank="1" showDropDown="0" showInputMessage="1" showErrorMessage="1" sqref="Q18">
      <formula1>"France,Inde,"</formula1>
    </dataValidation>
    <dataValidation type="list" allowBlank="1" showDropDown="0" showInputMessage="1" showErrorMessage="1" sqref="Q19">
      <formula1>"France,Inde,"</formula1>
    </dataValidation>
    <dataValidation type="list" allowBlank="1" showDropDown="0" showInputMessage="1" showErrorMessage="1" sqref="Q20">
      <formula1>"France,Inde,"</formula1>
    </dataValidation>
    <dataValidation type="list" allowBlank="1" showDropDown="0" showInputMessage="1" showErrorMessage="1" sqref="Q21">
      <formula1>"France,Inde,"</formula1>
    </dataValidation>
    <dataValidation type="list" allowBlank="1" showDropDown="0" showInputMessage="1" showErrorMessage="1" sqref="Q22">
      <formula1>"France,Inde,"</formula1>
    </dataValidation>
    <dataValidation type="list" allowBlank="1" showDropDown="0" showInputMessage="1" showErrorMessage="1" sqref="R3">
      <formula1>"France,Inde,"</formula1>
    </dataValidation>
    <dataValidation type="list" allowBlank="1" showDropDown="0" showInputMessage="1" showErrorMessage="1" sqref="R4">
      <formula1>"France,Inde,"</formula1>
    </dataValidation>
    <dataValidation type="list" allowBlank="1" showDropDown="0" showInputMessage="1" showErrorMessage="1" sqref="R5">
      <formula1>"France,Inde,"</formula1>
    </dataValidation>
    <dataValidation type="list" allowBlank="1" showDropDown="0" showInputMessage="1" showErrorMessage="1" sqref="R6">
      <formula1>"France,Inde,"</formula1>
    </dataValidation>
    <dataValidation type="list" allowBlank="1" showDropDown="0" showInputMessage="1" showErrorMessage="1" sqref="R7">
      <formula1>"France,Inde,"</formula1>
    </dataValidation>
    <dataValidation type="list" allowBlank="1" showDropDown="0" showInputMessage="1" showErrorMessage="1" sqref="R8">
      <formula1>"France,Inde,"</formula1>
    </dataValidation>
    <dataValidation type="list" allowBlank="1" showDropDown="0" showInputMessage="1" showErrorMessage="1" sqref="R9">
      <formula1>"France,Inde,"</formula1>
    </dataValidation>
    <dataValidation type="list" allowBlank="1" showDropDown="0" showInputMessage="1" showErrorMessage="1" sqref="R10">
      <formula1>"France,Inde,"</formula1>
    </dataValidation>
    <dataValidation type="list" allowBlank="1" showDropDown="0" showInputMessage="1" showErrorMessage="1" sqref="R11">
      <formula1>"France,Inde,"</formula1>
    </dataValidation>
    <dataValidation type="list" allowBlank="1" showDropDown="0" showInputMessage="1" showErrorMessage="1" sqref="R12">
      <formula1>"France,Inde,"</formula1>
    </dataValidation>
    <dataValidation type="list" allowBlank="1" showDropDown="0" showInputMessage="1" showErrorMessage="1" sqref="R13">
      <formula1>"France,Inde,"</formula1>
    </dataValidation>
    <dataValidation type="list" allowBlank="1" showDropDown="0" showInputMessage="1" showErrorMessage="1" sqref="R14">
      <formula1>"France,Inde,"</formula1>
    </dataValidation>
    <dataValidation type="list" allowBlank="1" showDropDown="0" showInputMessage="1" showErrorMessage="1" sqref="R15">
      <formula1>"France,Inde,"</formula1>
    </dataValidation>
    <dataValidation type="list" allowBlank="1" showDropDown="0" showInputMessage="1" showErrorMessage="1" sqref="R16">
      <formula1>"France,Inde,"</formula1>
    </dataValidation>
    <dataValidation type="list" allowBlank="1" showDropDown="0" showInputMessage="1" showErrorMessage="1" sqref="R17">
      <formula1>"France,Inde,"</formula1>
    </dataValidation>
    <dataValidation type="list" allowBlank="1" showDropDown="0" showInputMessage="1" showErrorMessage="1" sqref="R18">
      <formula1>"France,Inde,"</formula1>
    </dataValidation>
    <dataValidation type="list" allowBlank="1" showDropDown="0" showInputMessage="1" showErrorMessage="1" sqref="R19">
      <formula1>"France,Inde,"</formula1>
    </dataValidation>
    <dataValidation type="list" allowBlank="1" showDropDown="0" showInputMessage="1" showErrorMessage="1" sqref="R20">
      <formula1>"France,Inde,"</formula1>
    </dataValidation>
    <dataValidation type="list" allowBlank="1" showDropDown="0" showInputMessage="1" showErrorMessage="1" sqref="R21">
      <formula1>"France,Inde,"</formula1>
    </dataValidation>
    <dataValidation type="list" allowBlank="1" showDropDown="0" showInputMessage="1" showErrorMessage="1" sqref="R22">
      <formula1>"France,Inde,"</formula1>
    </dataValidation>
    <dataValidation type="list" allowBlank="1" showDropDown="0" showInputMessage="1" showErrorMessage="1" sqref="S3">
      <formula1>"France,Inde,"</formula1>
    </dataValidation>
    <dataValidation type="list" allowBlank="1" showDropDown="0" showInputMessage="1" showErrorMessage="1" sqref="S4">
      <formula1>"France,Inde,"</formula1>
    </dataValidation>
    <dataValidation type="list" allowBlank="1" showDropDown="0" showInputMessage="1" showErrorMessage="1" sqref="S5">
      <formula1>"France,Inde,"</formula1>
    </dataValidation>
    <dataValidation type="list" allowBlank="1" showDropDown="0" showInputMessage="1" showErrorMessage="1" sqref="S6">
      <formula1>"France,Inde,"</formula1>
    </dataValidation>
    <dataValidation type="list" allowBlank="1" showDropDown="0" showInputMessage="1" showErrorMessage="1" sqref="S7">
      <formula1>"France,Inde,"</formula1>
    </dataValidation>
    <dataValidation type="list" allowBlank="1" showDropDown="0" showInputMessage="1" showErrorMessage="1" sqref="S8">
      <formula1>"France,Inde,"</formula1>
    </dataValidation>
    <dataValidation type="list" allowBlank="1" showDropDown="0" showInputMessage="1" showErrorMessage="1" sqref="S9">
      <formula1>"France,Inde,"</formula1>
    </dataValidation>
    <dataValidation type="list" allowBlank="1" showDropDown="0" showInputMessage="1" showErrorMessage="1" sqref="S10">
      <formula1>"France,Inde,"</formula1>
    </dataValidation>
    <dataValidation type="list" allowBlank="1" showDropDown="0" showInputMessage="1" showErrorMessage="1" sqref="S11">
      <formula1>"France,Inde,"</formula1>
    </dataValidation>
    <dataValidation type="list" allowBlank="1" showDropDown="0" showInputMessage="1" showErrorMessage="1" sqref="S12">
      <formula1>"France,Inde,"</formula1>
    </dataValidation>
    <dataValidation type="list" allowBlank="1" showDropDown="0" showInputMessage="1" showErrorMessage="1" sqref="S13">
      <formula1>"France,Inde,"</formula1>
    </dataValidation>
    <dataValidation type="list" allowBlank="1" showDropDown="0" showInputMessage="1" showErrorMessage="1" sqref="S14">
      <formula1>"France,Inde,"</formula1>
    </dataValidation>
    <dataValidation type="list" allowBlank="1" showDropDown="0" showInputMessage="1" showErrorMessage="1" sqref="S15">
      <formula1>"France,Inde,"</formula1>
    </dataValidation>
    <dataValidation type="list" allowBlank="1" showDropDown="0" showInputMessage="1" showErrorMessage="1" sqref="S16">
      <formula1>"France,Inde,"</formula1>
    </dataValidation>
    <dataValidation type="list" allowBlank="1" showDropDown="0" showInputMessage="1" showErrorMessage="1" sqref="S17">
      <formula1>"France,Inde,"</formula1>
    </dataValidation>
    <dataValidation type="list" allowBlank="1" showDropDown="0" showInputMessage="1" showErrorMessage="1" sqref="S18">
      <formula1>"France,Inde,"</formula1>
    </dataValidation>
    <dataValidation type="list" allowBlank="1" showDropDown="0" showInputMessage="1" showErrorMessage="1" sqref="S19">
      <formula1>"France,Inde,"</formula1>
    </dataValidation>
    <dataValidation type="list" allowBlank="1" showDropDown="0" showInputMessage="1" showErrorMessage="1" sqref="S20">
      <formula1>"France,Inde,"</formula1>
    </dataValidation>
    <dataValidation type="list" allowBlank="1" showDropDown="0" showInputMessage="1" showErrorMessage="1" sqref="S21">
      <formula1>"France,Inde,"</formula1>
    </dataValidation>
    <dataValidation type="list" allowBlank="1" showDropDown="0" showInputMessage="1" showErrorMessage="1" sqref="S22">
      <formula1>"France,Inde,"</formula1>
    </dataValidation>
    <dataValidation type="list" allowBlank="1" showDropDown="0" showInputMessage="1" showErrorMessage="1" sqref="T3">
      <formula1>"France,Inde,"</formula1>
    </dataValidation>
    <dataValidation type="list" allowBlank="1" showDropDown="0" showInputMessage="1" showErrorMessage="1" sqref="T4">
      <formula1>"France,Inde,"</formula1>
    </dataValidation>
    <dataValidation type="list" allowBlank="1" showDropDown="0" showInputMessage="1" showErrorMessage="1" sqref="T5">
      <formula1>"France,Inde,"</formula1>
    </dataValidation>
    <dataValidation type="list" allowBlank="1" showDropDown="0" showInputMessage="1" showErrorMessage="1" sqref="T6">
      <formula1>"France,Inde,"</formula1>
    </dataValidation>
    <dataValidation type="list" allowBlank="1" showDropDown="0" showInputMessage="1" showErrorMessage="1" sqref="T7">
      <formula1>"France,Inde,"</formula1>
    </dataValidation>
    <dataValidation type="list" allowBlank="1" showDropDown="0" showInputMessage="1" showErrorMessage="1" sqref="T8">
      <formula1>"France,Inde,"</formula1>
    </dataValidation>
    <dataValidation type="list" allowBlank="1" showDropDown="0" showInputMessage="1" showErrorMessage="1" sqref="T9">
      <formula1>"France,Inde,"</formula1>
    </dataValidation>
    <dataValidation type="list" allowBlank="1" showDropDown="0" showInputMessage="1" showErrorMessage="1" sqref="T10">
      <formula1>"France,Inde,"</formula1>
    </dataValidation>
    <dataValidation type="list" allowBlank="1" showDropDown="0" showInputMessage="1" showErrorMessage="1" sqref="T11">
      <formula1>"France,Inde,"</formula1>
    </dataValidation>
    <dataValidation type="list" allowBlank="1" showDropDown="0" showInputMessage="1" showErrorMessage="1" sqref="T12">
      <formula1>"France,Inde,"</formula1>
    </dataValidation>
    <dataValidation type="list" allowBlank="1" showDropDown="0" showInputMessage="1" showErrorMessage="1" sqref="T13">
      <formula1>"France,Inde,"</formula1>
    </dataValidation>
    <dataValidation type="list" allowBlank="1" showDropDown="0" showInputMessage="1" showErrorMessage="1" sqref="T14">
      <formula1>"France,Inde,"</formula1>
    </dataValidation>
    <dataValidation type="list" allowBlank="1" showDropDown="0" showInputMessage="1" showErrorMessage="1" sqref="T15">
      <formula1>"France,Inde,"</formula1>
    </dataValidation>
    <dataValidation type="list" allowBlank="1" showDropDown="0" showInputMessage="1" showErrorMessage="1" sqref="T16">
      <formula1>"France,Inde,"</formula1>
    </dataValidation>
    <dataValidation type="list" allowBlank="1" showDropDown="0" showInputMessage="1" showErrorMessage="1" sqref="T17">
      <formula1>"France,Inde,"</formula1>
    </dataValidation>
    <dataValidation type="list" allowBlank="1" showDropDown="0" showInputMessage="1" showErrorMessage="1" sqref="T18">
      <formula1>"France,Inde,"</formula1>
    </dataValidation>
    <dataValidation type="list" allowBlank="1" showDropDown="0" showInputMessage="1" showErrorMessage="1" sqref="T19">
      <formula1>"France,Inde,"</formula1>
    </dataValidation>
    <dataValidation type="list" allowBlank="1" showDropDown="0" showInputMessage="1" showErrorMessage="1" sqref="T20">
      <formula1>"France,Inde,"</formula1>
    </dataValidation>
    <dataValidation type="list" allowBlank="1" showDropDown="0" showInputMessage="1" showErrorMessage="1" sqref="T21">
      <formula1>"France,Inde,"</formula1>
    </dataValidation>
    <dataValidation type="list" allowBlank="1" showDropDown="0" showInputMessage="1" showErrorMessage="1" sqref="T22">
      <formula1>"France,Inde,"</formula1>
    </dataValidation>
    <dataValidation type="list" allowBlank="1" showDropDown="0" showInputMessage="1" showErrorMessage="1" sqref="U3">
      <formula1>"France,Inde,"</formula1>
    </dataValidation>
    <dataValidation type="list" allowBlank="1" showDropDown="0" showInputMessage="1" showErrorMessage="1" sqref="U4">
      <formula1>"France,Inde,"</formula1>
    </dataValidation>
    <dataValidation type="list" allowBlank="1" showDropDown="0" showInputMessage="1" showErrorMessage="1" sqref="U5">
      <formula1>"France,Inde,"</formula1>
    </dataValidation>
    <dataValidation type="list" allowBlank="1" showDropDown="0" showInputMessage="1" showErrorMessage="1" sqref="U6">
      <formula1>"France,Inde,"</formula1>
    </dataValidation>
    <dataValidation type="list" allowBlank="1" showDropDown="0" showInputMessage="1" showErrorMessage="1" sqref="U7">
      <formula1>"France,Inde,"</formula1>
    </dataValidation>
    <dataValidation type="list" allowBlank="1" showDropDown="0" showInputMessage="1" showErrorMessage="1" sqref="U8">
      <formula1>"France,Inde,"</formula1>
    </dataValidation>
    <dataValidation type="list" allowBlank="1" showDropDown="0" showInputMessage="1" showErrorMessage="1" sqref="U9">
      <formula1>"France,Inde,"</formula1>
    </dataValidation>
    <dataValidation type="list" allowBlank="1" showDropDown="0" showInputMessage="1" showErrorMessage="1" sqref="U10">
      <formula1>"France,Inde,"</formula1>
    </dataValidation>
    <dataValidation type="list" allowBlank="1" showDropDown="0" showInputMessage="1" showErrorMessage="1" sqref="U11">
      <formula1>"France,Inde,"</formula1>
    </dataValidation>
    <dataValidation type="list" allowBlank="1" showDropDown="0" showInputMessage="1" showErrorMessage="1" sqref="U12">
      <formula1>"France,Inde,"</formula1>
    </dataValidation>
    <dataValidation type="list" allowBlank="1" showDropDown="0" showInputMessage="1" showErrorMessage="1" sqref="U13">
      <formula1>"France,Inde,"</formula1>
    </dataValidation>
    <dataValidation type="list" allowBlank="1" showDropDown="0" showInputMessage="1" showErrorMessage="1" sqref="U14">
      <formula1>"France,Inde,"</formula1>
    </dataValidation>
    <dataValidation type="list" allowBlank="1" showDropDown="0" showInputMessage="1" showErrorMessage="1" sqref="U15">
      <formula1>"France,Inde,"</formula1>
    </dataValidation>
    <dataValidation type="list" allowBlank="1" showDropDown="0" showInputMessage="1" showErrorMessage="1" sqref="U16">
      <formula1>"France,Inde,"</formula1>
    </dataValidation>
    <dataValidation type="list" allowBlank="1" showDropDown="0" showInputMessage="1" showErrorMessage="1" sqref="U17">
      <formula1>"France,Inde,"</formula1>
    </dataValidation>
    <dataValidation type="list" allowBlank="1" showDropDown="0" showInputMessage="1" showErrorMessage="1" sqref="U18">
      <formula1>"France,Inde,"</formula1>
    </dataValidation>
    <dataValidation type="list" allowBlank="1" showDropDown="0" showInputMessage="1" showErrorMessage="1" sqref="U19">
      <formula1>"France,Inde,"</formula1>
    </dataValidation>
    <dataValidation type="list" allowBlank="1" showDropDown="0" showInputMessage="1" showErrorMessage="1" sqref="U20">
      <formula1>"France,Inde,"</formula1>
    </dataValidation>
    <dataValidation type="list" allowBlank="1" showDropDown="0" showInputMessage="1" showErrorMessage="1" sqref="U21">
      <formula1>"France,Inde,"</formula1>
    </dataValidation>
    <dataValidation type="list" allowBlank="1" showDropDown="0" showInputMessage="1" showErrorMessage="1" sqref="U22">
      <formula1>"France,Inde,"</formula1>
    </dataValidation>
    <dataValidation type="list" allowBlank="1" showDropDown="0" showInputMessage="1" showErrorMessage="1" sqref="V3">
      <formula1>"France,Inde,"</formula1>
    </dataValidation>
    <dataValidation type="list" allowBlank="1" showDropDown="0" showInputMessage="1" showErrorMessage="1" sqref="V4">
      <formula1>"France,Inde,"</formula1>
    </dataValidation>
    <dataValidation type="list" allowBlank="1" showDropDown="0" showInputMessage="1" showErrorMessage="1" sqref="V5">
      <formula1>"France,Inde,"</formula1>
    </dataValidation>
    <dataValidation type="list" allowBlank="1" showDropDown="0" showInputMessage="1" showErrorMessage="1" sqref="V6">
      <formula1>"France,Inde,"</formula1>
    </dataValidation>
    <dataValidation type="list" allowBlank="1" showDropDown="0" showInputMessage="1" showErrorMessage="1" sqref="V7">
      <formula1>"France,Inde,"</formula1>
    </dataValidation>
    <dataValidation type="list" allowBlank="1" showDropDown="0" showInputMessage="1" showErrorMessage="1" sqref="V8">
      <formula1>"France,Inde,"</formula1>
    </dataValidation>
    <dataValidation type="list" allowBlank="1" showDropDown="0" showInputMessage="1" showErrorMessage="1" sqref="V9">
      <formula1>"France,Inde,"</formula1>
    </dataValidation>
    <dataValidation type="list" allowBlank="1" showDropDown="0" showInputMessage="1" showErrorMessage="1" sqref="V10">
      <formula1>"France,Inde,"</formula1>
    </dataValidation>
    <dataValidation type="list" allowBlank="1" showDropDown="0" showInputMessage="1" showErrorMessage="1" sqref="V11">
      <formula1>"France,Inde,"</formula1>
    </dataValidation>
    <dataValidation type="list" allowBlank="1" showDropDown="0" showInputMessage="1" showErrorMessage="1" sqref="V12">
      <formula1>"France,Inde,"</formula1>
    </dataValidation>
    <dataValidation type="list" allowBlank="1" showDropDown="0" showInputMessage="1" showErrorMessage="1" sqref="V13">
      <formula1>"France,Inde,"</formula1>
    </dataValidation>
    <dataValidation type="list" allowBlank="1" showDropDown="0" showInputMessage="1" showErrorMessage="1" sqref="V14">
      <formula1>"France,Inde,"</formula1>
    </dataValidation>
    <dataValidation type="list" allowBlank="1" showDropDown="0" showInputMessage="1" showErrorMessage="1" sqref="V15">
      <formula1>"France,Inde,"</formula1>
    </dataValidation>
    <dataValidation type="list" allowBlank="1" showDropDown="0" showInputMessage="1" showErrorMessage="1" sqref="V16">
      <formula1>"France,Inde,"</formula1>
    </dataValidation>
    <dataValidation type="list" allowBlank="1" showDropDown="0" showInputMessage="1" showErrorMessage="1" sqref="V17">
      <formula1>"France,Inde,"</formula1>
    </dataValidation>
    <dataValidation type="list" allowBlank="1" showDropDown="0" showInputMessage="1" showErrorMessage="1" sqref="V18">
      <formula1>"France,Inde,"</formula1>
    </dataValidation>
    <dataValidation type="list" allowBlank="1" showDropDown="0" showInputMessage="1" showErrorMessage="1" sqref="V19">
      <formula1>"France,Inde,"</formula1>
    </dataValidation>
    <dataValidation type="list" allowBlank="1" showDropDown="0" showInputMessage="1" showErrorMessage="1" sqref="V20">
      <formula1>"France,Inde,"</formula1>
    </dataValidation>
    <dataValidation type="list" allowBlank="1" showDropDown="0" showInputMessage="1" showErrorMessage="1" sqref="V21">
      <formula1>"France,Inde,"</formula1>
    </dataValidation>
    <dataValidation type="list" allowBlank="1" showDropDown="0" showInputMessage="1" showErrorMessage="1" sqref="V22">
      <formula1>"France,Inde,"</formula1>
    </dataValidation>
    <dataValidation type="list" allowBlank="1" showDropDown="0" showInputMessage="1" showErrorMessage="1" sqref="W3">
      <formula1>"France,Inde,"</formula1>
    </dataValidation>
    <dataValidation type="list" allowBlank="1" showDropDown="0" showInputMessage="1" showErrorMessage="1" sqref="W4">
      <formula1>"France,Inde,"</formula1>
    </dataValidation>
    <dataValidation type="list" allowBlank="1" showDropDown="0" showInputMessage="1" showErrorMessage="1" sqref="W5">
      <formula1>"France,Inde,"</formula1>
    </dataValidation>
    <dataValidation type="list" allowBlank="1" showDropDown="0" showInputMessage="1" showErrorMessage="1" sqref="W6">
      <formula1>"France,Inde,"</formula1>
    </dataValidation>
    <dataValidation type="list" allowBlank="1" showDropDown="0" showInputMessage="1" showErrorMessage="1" sqref="W7">
      <formula1>"France,Inde,"</formula1>
    </dataValidation>
    <dataValidation type="list" allowBlank="1" showDropDown="0" showInputMessage="1" showErrorMessage="1" sqref="W8">
      <formula1>"France,Inde,"</formula1>
    </dataValidation>
    <dataValidation type="list" allowBlank="1" showDropDown="0" showInputMessage="1" showErrorMessage="1" sqref="W9">
      <formula1>"France,Inde,"</formula1>
    </dataValidation>
    <dataValidation type="list" allowBlank="1" showDropDown="0" showInputMessage="1" showErrorMessage="1" sqref="W10">
      <formula1>"France,Inde,"</formula1>
    </dataValidation>
    <dataValidation type="list" allowBlank="1" showDropDown="0" showInputMessage="1" showErrorMessage="1" sqref="W11">
      <formula1>"France,Inde,"</formula1>
    </dataValidation>
    <dataValidation type="list" allowBlank="1" showDropDown="0" showInputMessage="1" showErrorMessage="1" sqref="W12">
      <formula1>"France,Inde,"</formula1>
    </dataValidation>
    <dataValidation type="list" allowBlank="1" showDropDown="0" showInputMessage="1" showErrorMessage="1" sqref="W13">
      <formula1>"France,Inde,"</formula1>
    </dataValidation>
    <dataValidation type="list" allowBlank="1" showDropDown="0" showInputMessage="1" showErrorMessage="1" sqref="W14">
      <formula1>"France,Inde,"</formula1>
    </dataValidation>
    <dataValidation type="list" allowBlank="1" showDropDown="0" showInputMessage="1" showErrorMessage="1" sqref="W15">
      <formula1>"France,Inde,"</formula1>
    </dataValidation>
    <dataValidation type="list" allowBlank="1" showDropDown="0" showInputMessage="1" showErrorMessage="1" sqref="W16">
      <formula1>"France,Inde,"</formula1>
    </dataValidation>
    <dataValidation type="list" allowBlank="1" showDropDown="0" showInputMessage="1" showErrorMessage="1" sqref="W17">
      <formula1>"France,Inde,"</formula1>
    </dataValidation>
    <dataValidation type="list" allowBlank="1" showDropDown="0" showInputMessage="1" showErrorMessage="1" sqref="W18">
      <formula1>"France,Inde,"</formula1>
    </dataValidation>
    <dataValidation type="list" allowBlank="1" showDropDown="0" showInputMessage="1" showErrorMessage="1" sqref="W19">
      <formula1>"France,Inde,"</formula1>
    </dataValidation>
    <dataValidation type="list" allowBlank="1" showDropDown="0" showInputMessage="1" showErrorMessage="1" sqref="W20">
      <formula1>"France,Inde,"</formula1>
    </dataValidation>
    <dataValidation type="list" allowBlank="1" showDropDown="0" showInputMessage="1" showErrorMessage="1" sqref="W21">
      <formula1>"France,Inde,"</formula1>
    </dataValidation>
    <dataValidation type="list" allowBlank="1" showDropDown="0" showInputMessage="1" showErrorMessage="1" sqref="W22">
      <formula1>"France,Inde,"</formula1>
    </dataValidation>
    <dataValidation type="list" allowBlank="1" showDropDown="0" showInputMessage="1" showErrorMessage="1" sqref="X3">
      <formula1>"France,Inde,"</formula1>
    </dataValidation>
    <dataValidation type="list" allowBlank="1" showDropDown="0" showInputMessage="1" showErrorMessage="1" sqref="X4">
      <formula1>"France,Inde,"</formula1>
    </dataValidation>
    <dataValidation type="list" allowBlank="1" showDropDown="0" showInputMessage="1" showErrorMessage="1" sqref="X5">
      <formula1>"France,Inde,"</formula1>
    </dataValidation>
    <dataValidation type="list" allowBlank="1" showDropDown="0" showInputMessage="1" showErrorMessage="1" sqref="X6">
      <formula1>"France,Inde,"</formula1>
    </dataValidation>
    <dataValidation type="list" allowBlank="1" showDropDown="0" showInputMessage="1" showErrorMessage="1" sqref="X7">
      <formula1>"France,Inde,"</formula1>
    </dataValidation>
    <dataValidation type="list" allowBlank="1" showDropDown="0" showInputMessage="1" showErrorMessage="1" sqref="X8">
      <formula1>"France,Inde,"</formula1>
    </dataValidation>
    <dataValidation type="list" allowBlank="1" showDropDown="0" showInputMessage="1" showErrorMessage="1" sqref="X9">
      <formula1>"France,Inde,"</formula1>
    </dataValidation>
    <dataValidation type="list" allowBlank="1" showDropDown="0" showInputMessage="1" showErrorMessage="1" sqref="X10">
      <formula1>"France,Inde,"</formula1>
    </dataValidation>
    <dataValidation type="list" allowBlank="1" showDropDown="0" showInputMessage="1" showErrorMessage="1" sqref="X11">
      <formula1>"France,Inde,"</formula1>
    </dataValidation>
    <dataValidation type="list" allowBlank="1" showDropDown="0" showInputMessage="1" showErrorMessage="1" sqref="X12">
      <formula1>"France,Inde,"</formula1>
    </dataValidation>
    <dataValidation type="list" allowBlank="1" showDropDown="0" showInputMessage="1" showErrorMessage="1" sqref="X13">
      <formula1>"France,Inde,"</formula1>
    </dataValidation>
    <dataValidation type="list" allowBlank="1" showDropDown="0" showInputMessage="1" showErrorMessage="1" sqref="X14">
      <formula1>"France,Inde,"</formula1>
    </dataValidation>
    <dataValidation type="list" allowBlank="1" showDropDown="0" showInputMessage="1" showErrorMessage="1" sqref="X15">
      <formula1>"France,Inde,"</formula1>
    </dataValidation>
    <dataValidation type="list" allowBlank="1" showDropDown="0" showInputMessage="1" showErrorMessage="1" sqref="X16">
      <formula1>"France,Inde,"</formula1>
    </dataValidation>
    <dataValidation type="list" allowBlank="1" showDropDown="0" showInputMessage="1" showErrorMessage="1" sqref="X17">
      <formula1>"France,Inde,"</formula1>
    </dataValidation>
    <dataValidation type="list" allowBlank="1" showDropDown="0" showInputMessage="1" showErrorMessage="1" sqref="X18">
      <formula1>"France,Inde,"</formula1>
    </dataValidation>
    <dataValidation type="list" allowBlank="1" showDropDown="0" showInputMessage="1" showErrorMessage="1" sqref="X19">
      <formula1>"France,Inde,"</formula1>
    </dataValidation>
    <dataValidation type="list" allowBlank="1" showDropDown="0" showInputMessage="1" showErrorMessage="1" sqref="X20">
      <formula1>"France,Inde,"</formula1>
    </dataValidation>
    <dataValidation type="list" allowBlank="1" showDropDown="0" showInputMessage="1" showErrorMessage="1" sqref="X21">
      <formula1>"France,Inde,"</formula1>
    </dataValidation>
    <dataValidation type="list" allowBlank="1" showDropDown="0" showInputMessage="1" showErrorMessage="1" sqref="X22">
      <formula1>"France,Inde,"</formula1>
    </dataValidation>
    <dataValidation type="list" allowBlank="1" showDropDown="0" showInputMessage="1" showErrorMessage="1" sqref="Y3">
      <formula1>"France,Inde,"</formula1>
    </dataValidation>
    <dataValidation type="list" allowBlank="1" showDropDown="0" showInputMessage="1" showErrorMessage="1" sqref="Y4">
      <formula1>"France,Inde,"</formula1>
    </dataValidation>
    <dataValidation type="list" allowBlank="1" showDropDown="0" showInputMessage="1" showErrorMessage="1" sqref="Y5">
      <formula1>"France,Inde,"</formula1>
    </dataValidation>
    <dataValidation type="list" allowBlank="1" showDropDown="0" showInputMessage="1" showErrorMessage="1" sqref="Y6">
      <formula1>"France,Inde,"</formula1>
    </dataValidation>
    <dataValidation type="list" allowBlank="1" showDropDown="0" showInputMessage="1" showErrorMessage="1" sqref="Y7">
      <formula1>"France,Inde,"</formula1>
    </dataValidation>
    <dataValidation type="list" allowBlank="1" showDropDown="0" showInputMessage="1" showErrorMessage="1" sqref="Y8">
      <formula1>"France,Inde,"</formula1>
    </dataValidation>
    <dataValidation type="list" allowBlank="1" showDropDown="0" showInputMessage="1" showErrorMessage="1" sqref="Y9">
      <formula1>"France,Inde,"</formula1>
    </dataValidation>
    <dataValidation type="list" allowBlank="1" showDropDown="0" showInputMessage="1" showErrorMessage="1" sqref="Y10">
      <formula1>"France,Inde,"</formula1>
    </dataValidation>
    <dataValidation type="list" allowBlank="1" showDropDown="0" showInputMessage="1" showErrorMessage="1" sqref="Y11">
      <formula1>"France,Inde,"</formula1>
    </dataValidation>
    <dataValidation type="list" allowBlank="1" showDropDown="0" showInputMessage="1" showErrorMessage="1" sqref="Y12">
      <formula1>"France,Inde,"</formula1>
    </dataValidation>
    <dataValidation type="list" allowBlank="1" showDropDown="0" showInputMessage="1" showErrorMessage="1" sqref="Y13">
      <formula1>"France,Inde,"</formula1>
    </dataValidation>
    <dataValidation type="list" allowBlank="1" showDropDown="0" showInputMessage="1" showErrorMessage="1" sqref="Y14">
      <formula1>"France,Inde,"</formula1>
    </dataValidation>
    <dataValidation type="list" allowBlank="1" showDropDown="0" showInputMessage="1" showErrorMessage="1" sqref="Y15">
      <formula1>"France,Inde,"</formula1>
    </dataValidation>
    <dataValidation type="list" allowBlank="1" showDropDown="0" showInputMessage="1" showErrorMessage="1" sqref="Y16">
      <formula1>"France,Inde,"</formula1>
    </dataValidation>
    <dataValidation type="list" allowBlank="1" showDropDown="0" showInputMessage="1" showErrorMessage="1" sqref="Y17">
      <formula1>"France,Inde,"</formula1>
    </dataValidation>
    <dataValidation type="list" allowBlank="1" showDropDown="0" showInputMessage="1" showErrorMessage="1" sqref="Y18">
      <formula1>"France,Inde,"</formula1>
    </dataValidation>
    <dataValidation type="list" allowBlank="1" showDropDown="0" showInputMessage="1" showErrorMessage="1" sqref="Y19">
      <formula1>"France,Inde,"</formula1>
    </dataValidation>
    <dataValidation type="list" allowBlank="1" showDropDown="0" showInputMessage="1" showErrorMessage="1" sqref="Y20">
      <formula1>"France,Inde,"</formula1>
    </dataValidation>
    <dataValidation type="list" allowBlank="1" showDropDown="0" showInputMessage="1" showErrorMessage="1" sqref="Y21">
      <formula1>"France,Inde,"</formula1>
    </dataValidation>
    <dataValidation type="list" allowBlank="1" showDropDown="0" showInputMessage="1" showErrorMessage="1" sqref="Y22">
      <formula1>"France,Inde,"</formula1>
    </dataValidation>
    <dataValidation type="list" allowBlank="1" showDropDown="0" showInputMessage="1" showErrorMessage="1" sqref="Z3">
      <formula1>"France,Inde,"</formula1>
    </dataValidation>
    <dataValidation type="list" allowBlank="1" showDropDown="0" showInputMessage="1" showErrorMessage="1" sqref="Z4">
      <formula1>"France,Inde,"</formula1>
    </dataValidation>
    <dataValidation type="list" allowBlank="1" showDropDown="0" showInputMessage="1" showErrorMessage="1" sqref="Z5">
      <formula1>"France,Inde,"</formula1>
    </dataValidation>
    <dataValidation type="list" allowBlank="1" showDropDown="0" showInputMessage="1" showErrorMessage="1" sqref="Z6">
      <formula1>"France,Inde,"</formula1>
    </dataValidation>
    <dataValidation type="list" allowBlank="1" showDropDown="0" showInputMessage="1" showErrorMessage="1" sqref="Z7">
      <formula1>"France,Inde,"</formula1>
    </dataValidation>
    <dataValidation type="list" allowBlank="1" showDropDown="0" showInputMessage="1" showErrorMessage="1" sqref="Z8">
      <formula1>"France,Inde,"</formula1>
    </dataValidation>
    <dataValidation type="list" allowBlank="1" showDropDown="0" showInputMessage="1" showErrorMessage="1" sqref="Z9">
      <formula1>"France,Inde,"</formula1>
    </dataValidation>
    <dataValidation type="list" allowBlank="1" showDropDown="0" showInputMessage="1" showErrorMessage="1" sqref="Z10">
      <formula1>"France,Inde,"</formula1>
    </dataValidation>
    <dataValidation type="list" allowBlank="1" showDropDown="0" showInputMessage="1" showErrorMessage="1" sqref="Z11">
      <formula1>"France,Inde,"</formula1>
    </dataValidation>
    <dataValidation type="list" allowBlank="1" showDropDown="0" showInputMessage="1" showErrorMessage="1" sqref="Z12">
      <formula1>"France,Inde,"</formula1>
    </dataValidation>
    <dataValidation type="list" allowBlank="1" showDropDown="0" showInputMessage="1" showErrorMessage="1" sqref="Z13">
      <formula1>"France,Inde,"</formula1>
    </dataValidation>
    <dataValidation type="list" allowBlank="1" showDropDown="0" showInputMessage="1" showErrorMessage="1" sqref="Z14">
      <formula1>"France,Inde,"</formula1>
    </dataValidation>
    <dataValidation type="list" allowBlank="1" showDropDown="0" showInputMessage="1" showErrorMessage="1" sqref="Z15">
      <formula1>"France,Inde,"</formula1>
    </dataValidation>
    <dataValidation type="list" allowBlank="1" showDropDown="0" showInputMessage="1" showErrorMessage="1" sqref="Z16">
      <formula1>"France,Inde,"</formula1>
    </dataValidation>
    <dataValidation type="list" allowBlank="1" showDropDown="0" showInputMessage="1" showErrorMessage="1" sqref="Z17">
      <formula1>"France,Inde,"</formula1>
    </dataValidation>
    <dataValidation type="list" allowBlank="1" showDropDown="0" showInputMessage="1" showErrorMessage="1" sqref="Z18">
      <formula1>"France,Inde,"</formula1>
    </dataValidation>
    <dataValidation type="list" allowBlank="1" showDropDown="0" showInputMessage="1" showErrorMessage="1" sqref="Z19">
      <formula1>"France,Inde,"</formula1>
    </dataValidation>
    <dataValidation type="list" allowBlank="1" showDropDown="0" showInputMessage="1" showErrorMessage="1" sqref="Z20">
      <formula1>"France,Inde,"</formula1>
    </dataValidation>
    <dataValidation type="list" allowBlank="1" showDropDown="0" showInputMessage="1" showErrorMessage="1" sqref="Z21">
      <formula1>"France,Inde,"</formula1>
    </dataValidation>
    <dataValidation type="list" allowBlank="1" showDropDown="0" showInputMessage="1" showErrorMessage="1" sqref="Z22">
      <formula1>"France,Inde,"</formula1>
    </dataValidation>
    <dataValidation type="list" allowBlank="1" showDropDown="0" showInputMessage="1" showErrorMessage="1" sqref="AA3">
      <formula1>"France,Inde,"</formula1>
    </dataValidation>
    <dataValidation type="list" allowBlank="1" showDropDown="0" showInputMessage="1" showErrorMessage="1" sqref="AA4">
      <formula1>"France,Inde,"</formula1>
    </dataValidation>
    <dataValidation type="list" allowBlank="1" showDropDown="0" showInputMessage="1" showErrorMessage="1" sqref="AA5">
      <formula1>"France,Inde,"</formula1>
    </dataValidation>
    <dataValidation type="list" allowBlank="1" showDropDown="0" showInputMessage="1" showErrorMessage="1" sqref="AA6">
      <formula1>"France,Inde,"</formula1>
    </dataValidation>
    <dataValidation type="list" allowBlank="1" showDropDown="0" showInputMessage="1" showErrorMessage="1" sqref="AA7">
      <formula1>"France,Inde,"</formula1>
    </dataValidation>
    <dataValidation type="list" allowBlank="1" showDropDown="0" showInputMessage="1" showErrorMessage="1" sqref="AA8">
      <formula1>"France,Inde,"</formula1>
    </dataValidation>
    <dataValidation type="list" allowBlank="1" showDropDown="0" showInputMessage="1" showErrorMessage="1" sqref="AA9">
      <formula1>"France,Inde,"</formula1>
    </dataValidation>
    <dataValidation type="list" allowBlank="1" showDropDown="0" showInputMessage="1" showErrorMessage="1" sqref="AA10">
      <formula1>"France,Inde,"</formula1>
    </dataValidation>
    <dataValidation type="list" allowBlank="1" showDropDown="0" showInputMessage="1" showErrorMessage="1" sqref="AA11">
      <formula1>"France,Inde,"</formula1>
    </dataValidation>
    <dataValidation type="list" allowBlank="1" showDropDown="0" showInputMessage="1" showErrorMessage="1" sqref="AA12">
      <formula1>"France,Inde,"</formula1>
    </dataValidation>
    <dataValidation type="list" allowBlank="1" showDropDown="0" showInputMessage="1" showErrorMessage="1" sqref="AA13">
      <formula1>"France,Inde,"</formula1>
    </dataValidation>
    <dataValidation type="list" allowBlank="1" showDropDown="0" showInputMessage="1" showErrorMessage="1" sqref="AA14">
      <formula1>"France,Inde,"</formula1>
    </dataValidation>
    <dataValidation type="list" allowBlank="1" showDropDown="0" showInputMessage="1" showErrorMessage="1" sqref="AA15">
      <formula1>"France,Inde,"</formula1>
    </dataValidation>
    <dataValidation type="list" allowBlank="1" showDropDown="0" showInputMessage="1" showErrorMessage="1" sqref="AA16">
      <formula1>"France,Inde,"</formula1>
    </dataValidation>
    <dataValidation type="list" allowBlank="1" showDropDown="0" showInputMessage="1" showErrorMessage="1" sqref="AA17">
      <formula1>"France,Inde,"</formula1>
    </dataValidation>
    <dataValidation type="list" allowBlank="1" showDropDown="0" showInputMessage="1" showErrorMessage="1" sqref="AA18">
      <formula1>"France,Inde,"</formula1>
    </dataValidation>
    <dataValidation type="list" allowBlank="1" showDropDown="0" showInputMessage="1" showErrorMessage="1" sqref="AA19">
      <formula1>"France,Inde,"</formula1>
    </dataValidation>
    <dataValidation type="list" allowBlank="1" showDropDown="0" showInputMessage="1" showErrorMessage="1" sqref="AA20">
      <formula1>"France,Inde,"</formula1>
    </dataValidation>
    <dataValidation type="list" allowBlank="1" showDropDown="0" showInputMessage="1" showErrorMessage="1" sqref="AA21">
      <formula1>"France,Inde,"</formula1>
    </dataValidation>
    <dataValidation type="list" allowBlank="1" showDropDown="0" showInputMessage="1" showErrorMessage="1" sqref="AA22">
      <formula1>"France,Inde,"</formula1>
    </dataValidation>
    <dataValidation type="list" allowBlank="1" showDropDown="0" showInputMessage="1" showErrorMessage="1" sqref="AB3">
      <formula1>"France,Inde,"</formula1>
    </dataValidation>
    <dataValidation type="list" allowBlank="1" showDropDown="0" showInputMessage="1" showErrorMessage="1" sqref="AB4">
      <formula1>"France,Inde,"</formula1>
    </dataValidation>
    <dataValidation type="list" allowBlank="1" showDropDown="0" showInputMessage="1" showErrorMessage="1" sqref="AB5">
      <formula1>"France,Inde,"</formula1>
    </dataValidation>
    <dataValidation type="list" allowBlank="1" showDropDown="0" showInputMessage="1" showErrorMessage="1" sqref="AB6">
      <formula1>"France,Inde,"</formula1>
    </dataValidation>
    <dataValidation type="list" allowBlank="1" showDropDown="0" showInputMessage="1" showErrorMessage="1" sqref="AB7">
      <formula1>"France,Inde,"</formula1>
    </dataValidation>
    <dataValidation type="list" allowBlank="1" showDropDown="0" showInputMessage="1" showErrorMessage="1" sqref="AB8">
      <formula1>"France,Inde,"</formula1>
    </dataValidation>
    <dataValidation type="list" allowBlank="1" showDropDown="0" showInputMessage="1" showErrorMessage="1" sqref="AB9">
      <formula1>"France,Inde,"</formula1>
    </dataValidation>
    <dataValidation type="list" allowBlank="1" showDropDown="0" showInputMessage="1" showErrorMessage="1" sqref="AB10">
      <formula1>"France,Inde,"</formula1>
    </dataValidation>
    <dataValidation type="list" allowBlank="1" showDropDown="0" showInputMessage="1" showErrorMessage="1" sqref="AB11">
      <formula1>"France,Inde,"</formula1>
    </dataValidation>
    <dataValidation type="list" allowBlank="1" showDropDown="0" showInputMessage="1" showErrorMessage="1" sqref="AB12">
      <formula1>"France,Inde,"</formula1>
    </dataValidation>
    <dataValidation type="list" allowBlank="1" showDropDown="0" showInputMessage="1" showErrorMessage="1" sqref="AB13">
      <formula1>"France,Inde,"</formula1>
    </dataValidation>
    <dataValidation type="list" allowBlank="1" showDropDown="0" showInputMessage="1" showErrorMessage="1" sqref="AB14">
      <formula1>"France,Inde,"</formula1>
    </dataValidation>
    <dataValidation type="list" allowBlank="1" showDropDown="0" showInputMessage="1" showErrorMessage="1" sqref="AB15">
      <formula1>"France,Inde,"</formula1>
    </dataValidation>
    <dataValidation type="list" allowBlank="1" showDropDown="0" showInputMessage="1" showErrorMessage="1" sqref="AB16">
      <formula1>"France,Inde,"</formula1>
    </dataValidation>
    <dataValidation type="list" allowBlank="1" showDropDown="0" showInputMessage="1" showErrorMessage="1" sqref="AB17">
      <formula1>"France,Inde,"</formula1>
    </dataValidation>
    <dataValidation type="list" allowBlank="1" showDropDown="0" showInputMessage="1" showErrorMessage="1" sqref="AB18">
      <formula1>"France,Inde,"</formula1>
    </dataValidation>
    <dataValidation type="list" allowBlank="1" showDropDown="0" showInputMessage="1" showErrorMessage="1" sqref="AB19">
      <formula1>"France,Inde,"</formula1>
    </dataValidation>
    <dataValidation type="list" allowBlank="1" showDropDown="0" showInputMessage="1" showErrorMessage="1" sqref="AB20">
      <formula1>"France,Inde,"</formula1>
    </dataValidation>
    <dataValidation type="list" allowBlank="1" showDropDown="0" showInputMessage="1" showErrorMessage="1" sqref="AB21">
      <formula1>"France,Inde,"</formula1>
    </dataValidation>
    <dataValidation type="list" allowBlank="1" showDropDown="0" showInputMessage="1" showErrorMessage="1" sqref="AB22">
      <formula1>"France,Inde,"</formula1>
    </dataValidation>
    <dataValidation type="list" allowBlank="1" showDropDown="0" showInputMessage="1" showErrorMessage="1" sqref="AC3">
      <formula1>"France,Inde,"</formula1>
    </dataValidation>
    <dataValidation type="list" allowBlank="1" showDropDown="0" showInputMessage="1" showErrorMessage="1" sqref="AC4">
      <formula1>"France,Inde,"</formula1>
    </dataValidation>
    <dataValidation type="list" allowBlank="1" showDropDown="0" showInputMessage="1" showErrorMessage="1" sqref="AC5">
      <formula1>"France,Inde,"</formula1>
    </dataValidation>
    <dataValidation type="list" allowBlank="1" showDropDown="0" showInputMessage="1" showErrorMessage="1" sqref="AC6">
      <formula1>"France,Inde,"</formula1>
    </dataValidation>
    <dataValidation type="list" allowBlank="1" showDropDown="0" showInputMessage="1" showErrorMessage="1" sqref="AC7">
      <formula1>"France,Inde,"</formula1>
    </dataValidation>
    <dataValidation type="list" allowBlank="1" showDropDown="0" showInputMessage="1" showErrorMessage="1" sqref="AC8">
      <formula1>"France,Inde,"</formula1>
    </dataValidation>
    <dataValidation type="list" allowBlank="1" showDropDown="0" showInputMessage="1" showErrorMessage="1" sqref="AC9">
      <formula1>"France,Inde,"</formula1>
    </dataValidation>
    <dataValidation type="list" allowBlank="1" showDropDown="0" showInputMessage="1" showErrorMessage="1" sqref="AC10">
      <formula1>"France,Inde,"</formula1>
    </dataValidation>
    <dataValidation type="list" allowBlank="1" showDropDown="0" showInputMessage="1" showErrorMessage="1" sqref="AC11">
      <formula1>"France,Inde,"</formula1>
    </dataValidation>
    <dataValidation type="list" allowBlank="1" showDropDown="0" showInputMessage="1" showErrorMessage="1" sqref="AC12">
      <formula1>"France,Inde,"</formula1>
    </dataValidation>
    <dataValidation type="list" allowBlank="1" showDropDown="0" showInputMessage="1" showErrorMessage="1" sqref="AC13">
      <formula1>"France,Inde,"</formula1>
    </dataValidation>
    <dataValidation type="list" allowBlank="1" showDropDown="0" showInputMessage="1" showErrorMessage="1" sqref="AC14">
      <formula1>"France,Inde,"</formula1>
    </dataValidation>
    <dataValidation type="list" allowBlank="1" showDropDown="0" showInputMessage="1" showErrorMessage="1" sqref="AC15">
      <formula1>"France,Inde,"</formula1>
    </dataValidation>
    <dataValidation type="list" allowBlank="1" showDropDown="0" showInputMessage="1" showErrorMessage="1" sqref="AC16">
      <formula1>"France,Inde,"</formula1>
    </dataValidation>
    <dataValidation type="list" allowBlank="1" showDropDown="0" showInputMessage="1" showErrorMessage="1" sqref="AC17">
      <formula1>"France,Inde,"</formula1>
    </dataValidation>
    <dataValidation type="list" allowBlank="1" showDropDown="0" showInputMessage="1" showErrorMessage="1" sqref="AC18">
      <formula1>"France,Inde,"</formula1>
    </dataValidation>
    <dataValidation type="list" allowBlank="1" showDropDown="0" showInputMessage="1" showErrorMessage="1" sqref="AC19">
      <formula1>"France,Inde,"</formula1>
    </dataValidation>
    <dataValidation type="list" allowBlank="1" showDropDown="0" showInputMessage="1" showErrorMessage="1" sqref="AC20">
      <formula1>"France,Inde,"</formula1>
    </dataValidation>
    <dataValidation type="list" allowBlank="1" showDropDown="0" showInputMessage="1" showErrorMessage="1" sqref="AC21">
      <formula1>"France,Inde,"</formula1>
    </dataValidation>
    <dataValidation type="list" allowBlank="1" showDropDown="0" showInputMessage="1" showErrorMessage="1" sqref="AC22">
      <formula1>"France,Inde,"</formula1>
    </dataValidation>
    <dataValidation type="list" allowBlank="1" showDropDown="0" showInputMessage="1" showErrorMessage="1" sqref="AD3">
      <formula1>"France,Inde,"</formula1>
    </dataValidation>
    <dataValidation type="list" allowBlank="1" showDropDown="0" showInputMessage="1" showErrorMessage="1" sqref="AD4">
      <formula1>"France,Inde,"</formula1>
    </dataValidation>
    <dataValidation type="list" allowBlank="1" showDropDown="0" showInputMessage="1" showErrorMessage="1" sqref="AD5">
      <formula1>"France,Inde,"</formula1>
    </dataValidation>
    <dataValidation type="list" allowBlank="1" showDropDown="0" showInputMessage="1" showErrorMessage="1" sqref="AD6">
      <formula1>"France,Inde,"</formula1>
    </dataValidation>
    <dataValidation type="list" allowBlank="1" showDropDown="0" showInputMessage="1" showErrorMessage="1" sqref="AD7">
      <formula1>"France,Inde,"</formula1>
    </dataValidation>
    <dataValidation type="list" allowBlank="1" showDropDown="0" showInputMessage="1" showErrorMessage="1" sqref="AD8">
      <formula1>"France,Inde,"</formula1>
    </dataValidation>
    <dataValidation type="list" allowBlank="1" showDropDown="0" showInputMessage="1" showErrorMessage="1" sqref="AD9">
      <formula1>"France,Inde,"</formula1>
    </dataValidation>
    <dataValidation type="list" allowBlank="1" showDropDown="0" showInputMessage="1" showErrorMessage="1" sqref="AD10">
      <formula1>"France,Inde,"</formula1>
    </dataValidation>
    <dataValidation type="list" allowBlank="1" showDropDown="0" showInputMessage="1" showErrorMessage="1" sqref="AD11">
      <formula1>"France,Inde,"</formula1>
    </dataValidation>
    <dataValidation type="list" allowBlank="1" showDropDown="0" showInputMessage="1" showErrorMessage="1" sqref="AD12">
      <formula1>"France,Inde,"</formula1>
    </dataValidation>
    <dataValidation type="list" allowBlank="1" showDropDown="0" showInputMessage="1" showErrorMessage="1" sqref="AD13">
      <formula1>"France,Inde,"</formula1>
    </dataValidation>
    <dataValidation type="list" allowBlank="1" showDropDown="0" showInputMessage="1" showErrorMessage="1" sqref="AD14">
      <formula1>"France,Inde,"</formula1>
    </dataValidation>
    <dataValidation type="list" allowBlank="1" showDropDown="0" showInputMessage="1" showErrorMessage="1" sqref="AD15">
      <formula1>"France,Inde,"</formula1>
    </dataValidation>
    <dataValidation type="list" allowBlank="1" showDropDown="0" showInputMessage="1" showErrorMessage="1" sqref="AD16">
      <formula1>"France,Inde,"</formula1>
    </dataValidation>
    <dataValidation type="list" allowBlank="1" showDropDown="0" showInputMessage="1" showErrorMessage="1" sqref="AD17">
      <formula1>"France,Inde,"</formula1>
    </dataValidation>
    <dataValidation type="list" allowBlank="1" showDropDown="0" showInputMessage="1" showErrorMessage="1" sqref="AD18">
      <formula1>"France,Inde,"</formula1>
    </dataValidation>
    <dataValidation type="list" allowBlank="1" showDropDown="0" showInputMessage="1" showErrorMessage="1" sqref="AD19">
      <formula1>"France,Inde,"</formula1>
    </dataValidation>
    <dataValidation type="list" allowBlank="1" showDropDown="0" showInputMessage="1" showErrorMessage="1" sqref="AD20">
      <formula1>"France,Inde,"</formula1>
    </dataValidation>
    <dataValidation type="list" allowBlank="1" showDropDown="0" showInputMessage="1" showErrorMessage="1" sqref="AD21">
      <formula1>"France,Inde,"</formula1>
    </dataValidation>
    <dataValidation type="list" allowBlank="1" showDropDown="0" showInputMessage="1" showErrorMessage="1" sqref="AD22">
      <formula1>"France,Inde,"</formula1>
    </dataValidation>
    <dataValidation type="list" allowBlank="1" showDropDown="0" showInputMessage="1" showErrorMessage="1" sqref="AE3">
      <formula1>"France,Inde,"</formula1>
    </dataValidation>
    <dataValidation type="list" allowBlank="1" showDropDown="0" showInputMessage="1" showErrorMessage="1" sqref="AE4">
      <formula1>"France,Inde,"</formula1>
    </dataValidation>
    <dataValidation type="list" allowBlank="1" showDropDown="0" showInputMessage="1" showErrorMessage="1" sqref="AE5">
      <formula1>"France,Inde,"</formula1>
    </dataValidation>
    <dataValidation type="list" allowBlank="1" showDropDown="0" showInputMessage="1" showErrorMessage="1" sqref="AE6">
      <formula1>"France,Inde,"</formula1>
    </dataValidation>
    <dataValidation type="list" allowBlank="1" showDropDown="0" showInputMessage="1" showErrorMessage="1" sqref="AE7">
      <formula1>"France,Inde,"</formula1>
    </dataValidation>
    <dataValidation type="list" allowBlank="1" showDropDown="0" showInputMessage="1" showErrorMessage="1" sqref="AE8">
      <formula1>"France,Inde,"</formula1>
    </dataValidation>
    <dataValidation type="list" allowBlank="1" showDropDown="0" showInputMessage="1" showErrorMessage="1" sqref="AE9">
      <formula1>"France,Inde,"</formula1>
    </dataValidation>
    <dataValidation type="list" allowBlank="1" showDropDown="0" showInputMessage="1" showErrorMessage="1" sqref="AE10">
      <formula1>"France,Inde,"</formula1>
    </dataValidation>
    <dataValidation type="list" allowBlank="1" showDropDown="0" showInputMessage="1" showErrorMessage="1" sqref="AE11">
      <formula1>"France,Inde,"</formula1>
    </dataValidation>
    <dataValidation type="list" allowBlank="1" showDropDown="0" showInputMessage="1" showErrorMessage="1" sqref="AE12">
      <formula1>"France,Inde,"</formula1>
    </dataValidation>
    <dataValidation type="list" allowBlank="1" showDropDown="0" showInputMessage="1" showErrorMessage="1" sqref="AE13">
      <formula1>"France,Inde,"</formula1>
    </dataValidation>
    <dataValidation type="list" allowBlank="1" showDropDown="0" showInputMessage="1" showErrorMessage="1" sqref="AE14">
      <formula1>"France,Inde,"</formula1>
    </dataValidation>
    <dataValidation type="list" allowBlank="1" showDropDown="0" showInputMessage="1" showErrorMessage="1" sqref="AE15">
      <formula1>"France,Inde,"</formula1>
    </dataValidation>
    <dataValidation type="list" allowBlank="1" showDropDown="0" showInputMessage="1" showErrorMessage="1" sqref="AE16">
      <formula1>"France,Inde,"</formula1>
    </dataValidation>
    <dataValidation type="list" allowBlank="1" showDropDown="0" showInputMessage="1" showErrorMessage="1" sqref="AE17">
      <formula1>"France,Inde,"</formula1>
    </dataValidation>
    <dataValidation type="list" allowBlank="1" showDropDown="0" showInputMessage="1" showErrorMessage="1" sqref="AE18">
      <formula1>"France,Inde,"</formula1>
    </dataValidation>
    <dataValidation type="list" allowBlank="1" showDropDown="0" showInputMessage="1" showErrorMessage="1" sqref="AE19">
      <formula1>"France,Inde,"</formula1>
    </dataValidation>
    <dataValidation type="list" allowBlank="1" showDropDown="0" showInputMessage="1" showErrorMessage="1" sqref="AE20">
      <formula1>"France,Inde,"</formula1>
    </dataValidation>
    <dataValidation type="list" allowBlank="1" showDropDown="0" showInputMessage="1" showErrorMessage="1" sqref="AE21">
      <formula1>"France,Inde,"</formula1>
    </dataValidation>
    <dataValidation type="list" allowBlank="1" showDropDown="0" showInputMessage="1" showErrorMessage="1" sqref="AE22">
      <formula1>"France,Inde,"</formula1>
    </dataValidation>
    <dataValidation type="list" allowBlank="1" showDropDown="0" showInputMessage="1" showErrorMessage="1" sqref="AF3">
      <formula1>"France,Inde,"</formula1>
    </dataValidation>
    <dataValidation type="list" allowBlank="1" showDropDown="0" showInputMessage="1" showErrorMessage="1" sqref="AF4">
      <formula1>"France,Inde,"</formula1>
    </dataValidation>
    <dataValidation type="list" allowBlank="1" showDropDown="0" showInputMessage="1" showErrorMessage="1" sqref="AF5">
      <formula1>"France,Inde,"</formula1>
    </dataValidation>
    <dataValidation type="list" allowBlank="1" showDropDown="0" showInputMessage="1" showErrorMessage="1" sqref="AF6">
      <formula1>"France,Inde,"</formula1>
    </dataValidation>
    <dataValidation type="list" allowBlank="1" showDropDown="0" showInputMessage="1" showErrorMessage="1" sqref="AF7">
      <formula1>"France,Inde,"</formula1>
    </dataValidation>
    <dataValidation type="list" allowBlank="1" showDropDown="0" showInputMessage="1" showErrorMessage="1" sqref="AF8">
      <formula1>"France,Inde,"</formula1>
    </dataValidation>
    <dataValidation type="list" allowBlank="1" showDropDown="0" showInputMessage="1" showErrorMessage="1" sqref="AF9">
      <formula1>"France,Inde,"</formula1>
    </dataValidation>
    <dataValidation type="list" allowBlank="1" showDropDown="0" showInputMessage="1" showErrorMessage="1" sqref="AF10">
      <formula1>"France,Inde,"</formula1>
    </dataValidation>
    <dataValidation type="list" allowBlank="1" showDropDown="0" showInputMessage="1" showErrorMessage="1" sqref="AF11">
      <formula1>"France,Inde,"</formula1>
    </dataValidation>
    <dataValidation type="list" allowBlank="1" showDropDown="0" showInputMessage="1" showErrorMessage="1" sqref="AF12">
      <formula1>"France,Inde,"</formula1>
    </dataValidation>
    <dataValidation type="list" allowBlank="1" showDropDown="0" showInputMessage="1" showErrorMessage="1" sqref="AF13">
      <formula1>"France,Inde,"</formula1>
    </dataValidation>
    <dataValidation type="list" allowBlank="1" showDropDown="0" showInputMessage="1" showErrorMessage="1" sqref="AF14">
      <formula1>"France,Inde,"</formula1>
    </dataValidation>
    <dataValidation type="list" allowBlank="1" showDropDown="0" showInputMessage="1" showErrorMessage="1" sqref="AF15">
      <formula1>"France,Inde,"</formula1>
    </dataValidation>
    <dataValidation type="list" allowBlank="1" showDropDown="0" showInputMessage="1" showErrorMessage="1" sqref="AF16">
      <formula1>"France,Inde,"</formula1>
    </dataValidation>
    <dataValidation type="list" allowBlank="1" showDropDown="0" showInputMessage="1" showErrorMessage="1" sqref="AF17">
      <formula1>"France,Inde,"</formula1>
    </dataValidation>
    <dataValidation type="list" allowBlank="1" showDropDown="0" showInputMessage="1" showErrorMessage="1" sqref="AF18">
      <formula1>"France,Inde,"</formula1>
    </dataValidation>
    <dataValidation type="list" allowBlank="1" showDropDown="0" showInputMessage="1" showErrorMessage="1" sqref="AF19">
      <formula1>"France,Inde,"</formula1>
    </dataValidation>
    <dataValidation type="list" allowBlank="1" showDropDown="0" showInputMessage="1" showErrorMessage="1" sqref="AF20">
      <formula1>"France,Inde,"</formula1>
    </dataValidation>
    <dataValidation type="list" allowBlank="1" showDropDown="0" showInputMessage="1" showErrorMessage="1" sqref="AF21">
      <formula1>"France,Inde,"</formula1>
    </dataValidation>
    <dataValidation type="list" allowBlank="1" showDropDown="0" showInputMessage="1" showErrorMessage="1" sqref="AF22">
      <formula1>"France,Inde,"</formula1>
    </dataValidation>
    <dataValidation type="list" allowBlank="1" showDropDown="0" showInputMessage="1" showErrorMessage="1" sqref="AG3">
      <formula1>"France,Inde,"</formula1>
    </dataValidation>
    <dataValidation type="list" allowBlank="1" showDropDown="0" showInputMessage="1" showErrorMessage="1" sqref="AG4">
      <formula1>"France,Inde,"</formula1>
    </dataValidation>
    <dataValidation type="list" allowBlank="1" showDropDown="0" showInputMessage="1" showErrorMessage="1" sqref="AG5">
      <formula1>"France,Inde,"</formula1>
    </dataValidation>
    <dataValidation type="list" allowBlank="1" showDropDown="0" showInputMessage="1" showErrorMessage="1" sqref="AG6">
      <formula1>"France,Inde,"</formula1>
    </dataValidation>
    <dataValidation type="list" allowBlank="1" showDropDown="0" showInputMessage="1" showErrorMessage="1" sqref="AG7">
      <formula1>"France,Inde,"</formula1>
    </dataValidation>
    <dataValidation type="list" allowBlank="1" showDropDown="0" showInputMessage="1" showErrorMessage="1" sqref="AG8">
      <formula1>"France,Inde,"</formula1>
    </dataValidation>
    <dataValidation type="list" allowBlank="1" showDropDown="0" showInputMessage="1" showErrorMessage="1" sqref="AG9">
      <formula1>"France,Inde,"</formula1>
    </dataValidation>
    <dataValidation type="list" allowBlank="1" showDropDown="0" showInputMessage="1" showErrorMessage="1" sqref="AG10">
      <formula1>"France,Inde,"</formula1>
    </dataValidation>
    <dataValidation type="list" allowBlank="1" showDropDown="0" showInputMessage="1" showErrorMessage="1" sqref="AG11">
      <formula1>"France,Inde,"</formula1>
    </dataValidation>
    <dataValidation type="list" allowBlank="1" showDropDown="0" showInputMessage="1" showErrorMessage="1" sqref="AG12">
      <formula1>"France,Inde,"</formula1>
    </dataValidation>
    <dataValidation type="list" allowBlank="1" showDropDown="0" showInputMessage="1" showErrorMessage="1" sqref="AG13">
      <formula1>"France,Inde,"</formula1>
    </dataValidation>
    <dataValidation type="list" allowBlank="1" showDropDown="0" showInputMessage="1" showErrorMessage="1" sqref="AG14">
      <formula1>"France,Inde,"</formula1>
    </dataValidation>
    <dataValidation type="list" allowBlank="1" showDropDown="0" showInputMessage="1" showErrorMessage="1" sqref="AG15">
      <formula1>"France,Inde,"</formula1>
    </dataValidation>
    <dataValidation type="list" allowBlank="1" showDropDown="0" showInputMessage="1" showErrorMessage="1" sqref="AG16">
      <formula1>"France,Inde,"</formula1>
    </dataValidation>
    <dataValidation type="list" allowBlank="1" showDropDown="0" showInputMessage="1" showErrorMessage="1" sqref="AG17">
      <formula1>"France,Inde,"</formula1>
    </dataValidation>
    <dataValidation type="list" allowBlank="1" showDropDown="0" showInputMessage="1" showErrorMessage="1" sqref="AG18">
      <formula1>"France,Inde,"</formula1>
    </dataValidation>
    <dataValidation type="list" allowBlank="1" showDropDown="0" showInputMessage="1" showErrorMessage="1" sqref="AG19">
      <formula1>"France,Inde,"</formula1>
    </dataValidation>
    <dataValidation type="list" allowBlank="1" showDropDown="0" showInputMessage="1" showErrorMessage="1" sqref="AG20">
      <formula1>"France,Inde,"</formula1>
    </dataValidation>
    <dataValidation type="list" allowBlank="1" showDropDown="0" showInputMessage="1" showErrorMessage="1" sqref="AG21">
      <formula1>"France,Inde,"</formula1>
    </dataValidation>
    <dataValidation type="list" allowBlank="1" showDropDown="0" showInputMessage="1" showErrorMessage="1" sqref="AG22">
      <formula1>"France,Inde,"</formula1>
    </dataValidation>
    <dataValidation type="list" allowBlank="1" showDropDown="0" showInputMessage="1" showErrorMessage="1" sqref="AH3">
      <formula1>"France,Inde,"</formula1>
    </dataValidation>
    <dataValidation type="list" allowBlank="1" showDropDown="0" showInputMessage="1" showErrorMessage="1" sqref="AH4">
      <formula1>"France,Inde,"</formula1>
    </dataValidation>
    <dataValidation type="list" allowBlank="1" showDropDown="0" showInputMessage="1" showErrorMessage="1" sqref="AH5">
      <formula1>"France,Inde,"</formula1>
    </dataValidation>
    <dataValidation type="list" allowBlank="1" showDropDown="0" showInputMessage="1" showErrorMessage="1" sqref="AH6">
      <formula1>"France,Inde,"</formula1>
    </dataValidation>
    <dataValidation type="list" allowBlank="1" showDropDown="0" showInputMessage="1" showErrorMessage="1" sqref="AH7">
      <formula1>"France,Inde,"</formula1>
    </dataValidation>
    <dataValidation type="list" allowBlank="1" showDropDown="0" showInputMessage="1" showErrorMessage="1" sqref="AH8">
      <formula1>"France,Inde,"</formula1>
    </dataValidation>
    <dataValidation type="list" allowBlank="1" showDropDown="0" showInputMessage="1" showErrorMessage="1" sqref="AH9">
      <formula1>"France,Inde,"</formula1>
    </dataValidation>
    <dataValidation type="list" allowBlank="1" showDropDown="0" showInputMessage="1" showErrorMessage="1" sqref="AH10">
      <formula1>"France,Inde,"</formula1>
    </dataValidation>
    <dataValidation type="list" allowBlank="1" showDropDown="0" showInputMessage="1" showErrorMessage="1" sqref="AH11">
      <formula1>"France,Inde,"</formula1>
    </dataValidation>
    <dataValidation type="list" allowBlank="1" showDropDown="0" showInputMessage="1" showErrorMessage="1" sqref="AH12">
      <formula1>"France,Inde,"</formula1>
    </dataValidation>
    <dataValidation type="list" allowBlank="1" showDropDown="0" showInputMessage="1" showErrorMessage="1" sqref="AH13">
      <formula1>"France,Inde,"</formula1>
    </dataValidation>
    <dataValidation type="list" allowBlank="1" showDropDown="0" showInputMessage="1" showErrorMessage="1" sqref="AH14">
      <formula1>"France,Inde,"</formula1>
    </dataValidation>
    <dataValidation type="list" allowBlank="1" showDropDown="0" showInputMessage="1" showErrorMessage="1" sqref="AH15">
      <formula1>"France,Inde,"</formula1>
    </dataValidation>
    <dataValidation type="list" allowBlank="1" showDropDown="0" showInputMessage="1" showErrorMessage="1" sqref="AH16">
      <formula1>"France,Inde,"</formula1>
    </dataValidation>
    <dataValidation type="list" allowBlank="1" showDropDown="0" showInputMessage="1" showErrorMessage="1" sqref="AH17">
      <formula1>"France,Inde,"</formula1>
    </dataValidation>
    <dataValidation type="list" allowBlank="1" showDropDown="0" showInputMessage="1" showErrorMessage="1" sqref="AH18">
      <formula1>"France,Inde,"</formula1>
    </dataValidation>
    <dataValidation type="list" allowBlank="1" showDropDown="0" showInputMessage="1" showErrorMessage="1" sqref="AH19">
      <formula1>"France,Inde,"</formula1>
    </dataValidation>
    <dataValidation type="list" allowBlank="1" showDropDown="0" showInputMessage="1" showErrorMessage="1" sqref="AH20">
      <formula1>"France,Inde,"</formula1>
    </dataValidation>
    <dataValidation type="list" allowBlank="1" showDropDown="0" showInputMessage="1" showErrorMessage="1" sqref="AH21">
      <formula1>"France,Inde,"</formula1>
    </dataValidation>
    <dataValidation type="list" allowBlank="1" showDropDown="0" showInputMessage="1" showErrorMessage="1" sqref="AH22">
      <formula1>"France,Inde,"</formula1>
    </dataValidation>
    <dataValidation type="list" allowBlank="1" showDropDown="0" showInputMessage="1" showErrorMessage="1" sqref="AI3">
      <formula1>"France,Inde,"</formula1>
    </dataValidation>
    <dataValidation type="list" allowBlank="1" showDropDown="0" showInputMessage="1" showErrorMessage="1" sqref="AI4">
      <formula1>"France,Inde,"</formula1>
    </dataValidation>
    <dataValidation type="list" allowBlank="1" showDropDown="0" showInputMessage="1" showErrorMessage="1" sqref="AI5">
      <formula1>"France,Inde,"</formula1>
    </dataValidation>
    <dataValidation type="list" allowBlank="1" showDropDown="0" showInputMessage="1" showErrorMessage="1" sqref="AI6">
      <formula1>"France,Inde,"</formula1>
    </dataValidation>
    <dataValidation type="list" allowBlank="1" showDropDown="0" showInputMessage="1" showErrorMessage="1" sqref="AI7">
      <formula1>"France,Inde,"</formula1>
    </dataValidation>
    <dataValidation type="list" allowBlank="1" showDropDown="0" showInputMessage="1" showErrorMessage="1" sqref="AI8">
      <formula1>"France,Inde,"</formula1>
    </dataValidation>
    <dataValidation type="list" allowBlank="1" showDropDown="0" showInputMessage="1" showErrorMessage="1" sqref="AI9">
      <formula1>"France,Inde,"</formula1>
    </dataValidation>
    <dataValidation type="list" allowBlank="1" showDropDown="0" showInputMessage="1" showErrorMessage="1" sqref="AI10">
      <formula1>"France,Inde,"</formula1>
    </dataValidation>
    <dataValidation type="list" allowBlank="1" showDropDown="0" showInputMessage="1" showErrorMessage="1" sqref="AI11">
      <formula1>"France,Inde,"</formula1>
    </dataValidation>
    <dataValidation type="list" allowBlank="1" showDropDown="0" showInputMessage="1" showErrorMessage="1" sqref="AI12">
      <formula1>"France,Inde,"</formula1>
    </dataValidation>
    <dataValidation type="list" allowBlank="1" showDropDown="0" showInputMessage="1" showErrorMessage="1" sqref="AI13">
      <formula1>"France,Inde,"</formula1>
    </dataValidation>
    <dataValidation type="list" allowBlank="1" showDropDown="0" showInputMessage="1" showErrorMessage="1" sqref="AI14">
      <formula1>"France,Inde,"</formula1>
    </dataValidation>
    <dataValidation type="list" allowBlank="1" showDropDown="0" showInputMessage="1" showErrorMessage="1" sqref="AI15">
      <formula1>"France,Inde,"</formula1>
    </dataValidation>
    <dataValidation type="list" allowBlank="1" showDropDown="0" showInputMessage="1" showErrorMessage="1" sqref="AI16">
      <formula1>"France,Inde,"</formula1>
    </dataValidation>
    <dataValidation type="list" allowBlank="1" showDropDown="0" showInputMessage="1" showErrorMessage="1" sqref="AI17">
      <formula1>"France,Inde,"</formula1>
    </dataValidation>
    <dataValidation type="list" allowBlank="1" showDropDown="0" showInputMessage="1" showErrorMessage="1" sqref="AI18">
      <formula1>"France,Inde,"</formula1>
    </dataValidation>
    <dataValidation type="list" allowBlank="1" showDropDown="0" showInputMessage="1" showErrorMessage="1" sqref="AI19">
      <formula1>"France,Inde,"</formula1>
    </dataValidation>
    <dataValidation type="list" allowBlank="1" showDropDown="0" showInputMessage="1" showErrorMessage="1" sqref="AI20">
      <formula1>"France,Inde,"</formula1>
    </dataValidation>
    <dataValidation type="list" allowBlank="1" showDropDown="0" showInputMessage="1" showErrorMessage="1" sqref="AI21">
      <formula1>"France,Inde,"</formula1>
    </dataValidation>
    <dataValidation type="list" allowBlank="1" showDropDown="0" showInputMessage="1" showErrorMessage="1" sqref="AI22">
      <formula1>"France,Inde,"</formula1>
    </dataValidation>
    <dataValidation type="list" allowBlank="1" showDropDown="0" showInputMessage="1" showErrorMessage="1" sqref="AJ3">
      <formula1>"France,Inde,"</formula1>
    </dataValidation>
    <dataValidation type="list" allowBlank="1" showDropDown="0" showInputMessage="1" showErrorMessage="1" sqref="AJ4">
      <formula1>"France,Inde,"</formula1>
    </dataValidation>
    <dataValidation type="list" allowBlank="1" showDropDown="0" showInputMessage="1" showErrorMessage="1" sqref="AJ5">
      <formula1>"France,Inde,"</formula1>
    </dataValidation>
    <dataValidation type="list" allowBlank="1" showDropDown="0" showInputMessage="1" showErrorMessage="1" sqref="AJ6">
      <formula1>"France,Inde,"</formula1>
    </dataValidation>
    <dataValidation type="list" allowBlank="1" showDropDown="0" showInputMessage="1" showErrorMessage="1" sqref="AJ7">
      <formula1>"France,Inde,"</formula1>
    </dataValidation>
    <dataValidation type="list" allowBlank="1" showDropDown="0" showInputMessage="1" showErrorMessage="1" sqref="AJ8">
      <formula1>"France,Inde,"</formula1>
    </dataValidation>
    <dataValidation type="list" allowBlank="1" showDropDown="0" showInputMessage="1" showErrorMessage="1" sqref="AJ9">
      <formula1>"France,Inde,"</formula1>
    </dataValidation>
    <dataValidation type="list" allowBlank="1" showDropDown="0" showInputMessage="1" showErrorMessage="1" sqref="AJ10">
      <formula1>"France,Inde,"</formula1>
    </dataValidation>
    <dataValidation type="list" allowBlank="1" showDropDown="0" showInputMessage="1" showErrorMessage="1" sqref="AJ11">
      <formula1>"France,Inde,"</formula1>
    </dataValidation>
    <dataValidation type="list" allowBlank="1" showDropDown="0" showInputMessage="1" showErrorMessage="1" sqref="AJ12">
      <formula1>"France,Inde,"</formula1>
    </dataValidation>
    <dataValidation type="list" allowBlank="1" showDropDown="0" showInputMessage="1" showErrorMessage="1" sqref="AJ13">
      <formula1>"France,Inde,"</formula1>
    </dataValidation>
    <dataValidation type="list" allowBlank="1" showDropDown="0" showInputMessage="1" showErrorMessage="1" sqref="AJ14">
      <formula1>"France,Inde,"</formula1>
    </dataValidation>
    <dataValidation type="list" allowBlank="1" showDropDown="0" showInputMessage="1" showErrorMessage="1" sqref="AJ15">
      <formula1>"France,Inde,"</formula1>
    </dataValidation>
    <dataValidation type="list" allowBlank="1" showDropDown="0" showInputMessage="1" showErrorMessage="1" sqref="AJ16">
      <formula1>"France,Inde,"</formula1>
    </dataValidation>
    <dataValidation type="list" allowBlank="1" showDropDown="0" showInputMessage="1" showErrorMessage="1" sqref="AJ17">
      <formula1>"France,Inde,"</formula1>
    </dataValidation>
    <dataValidation type="list" allowBlank="1" showDropDown="0" showInputMessage="1" showErrorMessage="1" sqref="AJ18">
      <formula1>"France,Inde,"</formula1>
    </dataValidation>
    <dataValidation type="list" allowBlank="1" showDropDown="0" showInputMessage="1" showErrorMessage="1" sqref="AJ19">
      <formula1>"France,Inde,"</formula1>
    </dataValidation>
    <dataValidation type="list" allowBlank="1" showDropDown="0" showInputMessage="1" showErrorMessage="1" sqref="AJ20">
      <formula1>"France,Inde,"</formula1>
    </dataValidation>
    <dataValidation type="list" allowBlank="1" showDropDown="0" showInputMessage="1" showErrorMessage="1" sqref="AJ21">
      <formula1>"France,Inde,"</formula1>
    </dataValidation>
    <dataValidation type="list" allowBlank="1" showDropDown="0" showInputMessage="1" showErrorMessage="1" sqref="AJ22">
      <formula1>"France,Inde,"</formula1>
    </dataValidation>
    <dataValidation type="list" allowBlank="1" showDropDown="0" showInputMessage="1" showErrorMessage="1" sqref="AK3">
      <formula1>"France,Inde,"</formula1>
    </dataValidation>
    <dataValidation type="list" allowBlank="1" showDropDown="0" showInputMessage="1" showErrorMessage="1" sqref="AK4">
      <formula1>"France,Inde,"</formula1>
    </dataValidation>
    <dataValidation type="list" allowBlank="1" showDropDown="0" showInputMessage="1" showErrorMessage="1" sqref="AK5">
      <formula1>"France,Inde,"</formula1>
    </dataValidation>
    <dataValidation type="list" allowBlank="1" showDropDown="0" showInputMessage="1" showErrorMessage="1" sqref="AK6">
      <formula1>"France,Inde,"</formula1>
    </dataValidation>
    <dataValidation type="list" allowBlank="1" showDropDown="0" showInputMessage="1" showErrorMessage="1" sqref="AK7">
      <formula1>"France,Inde,"</formula1>
    </dataValidation>
    <dataValidation type="list" allowBlank="1" showDropDown="0" showInputMessage="1" showErrorMessage="1" sqref="AK8">
      <formula1>"France,Inde,"</formula1>
    </dataValidation>
    <dataValidation type="list" allowBlank="1" showDropDown="0" showInputMessage="1" showErrorMessage="1" sqref="AK9">
      <formula1>"France,Inde,"</formula1>
    </dataValidation>
    <dataValidation type="list" allowBlank="1" showDropDown="0" showInputMessage="1" showErrorMessage="1" sqref="AK10">
      <formula1>"France,Inde,"</formula1>
    </dataValidation>
    <dataValidation type="list" allowBlank="1" showDropDown="0" showInputMessage="1" showErrorMessage="1" sqref="AK11">
      <formula1>"France,Inde,"</formula1>
    </dataValidation>
    <dataValidation type="list" allowBlank="1" showDropDown="0" showInputMessage="1" showErrorMessage="1" sqref="AK12">
      <formula1>"France,Inde,"</formula1>
    </dataValidation>
    <dataValidation type="list" allowBlank="1" showDropDown="0" showInputMessage="1" showErrorMessage="1" sqref="AK13">
      <formula1>"France,Inde,"</formula1>
    </dataValidation>
    <dataValidation type="list" allowBlank="1" showDropDown="0" showInputMessage="1" showErrorMessage="1" sqref="AK14">
      <formula1>"France,Inde,"</formula1>
    </dataValidation>
    <dataValidation type="list" allowBlank="1" showDropDown="0" showInputMessage="1" showErrorMessage="1" sqref="AK15">
      <formula1>"France,Inde,"</formula1>
    </dataValidation>
    <dataValidation type="list" allowBlank="1" showDropDown="0" showInputMessage="1" showErrorMessage="1" sqref="AK16">
      <formula1>"France,Inde,"</formula1>
    </dataValidation>
    <dataValidation type="list" allowBlank="1" showDropDown="0" showInputMessage="1" showErrorMessage="1" sqref="AK17">
      <formula1>"France,Inde,"</formula1>
    </dataValidation>
    <dataValidation type="list" allowBlank="1" showDropDown="0" showInputMessage="1" showErrorMessage="1" sqref="AK18">
      <formula1>"France,Inde,"</formula1>
    </dataValidation>
    <dataValidation type="list" allowBlank="1" showDropDown="0" showInputMessage="1" showErrorMessage="1" sqref="AK19">
      <formula1>"France,Inde,"</formula1>
    </dataValidation>
    <dataValidation type="list" allowBlank="1" showDropDown="0" showInputMessage="1" showErrorMessage="1" sqref="AK20">
      <formula1>"France,Inde,"</formula1>
    </dataValidation>
    <dataValidation type="list" allowBlank="1" showDropDown="0" showInputMessage="1" showErrorMessage="1" sqref="AK21">
      <formula1>"France,Inde,"</formula1>
    </dataValidation>
    <dataValidation type="list" allowBlank="1" showDropDown="0" showInputMessage="1" showErrorMessage="1" sqref="AK22">
      <formula1>"France,Inde,"</formula1>
    </dataValidation>
    <dataValidation type="list" allowBlank="1" showDropDown="0" showInputMessage="1" showErrorMessage="1" sqref="AL3">
      <formula1>"France,Inde,"</formula1>
    </dataValidation>
    <dataValidation type="list" allowBlank="1" showDropDown="0" showInputMessage="1" showErrorMessage="1" sqref="AL4">
      <formula1>"France,Inde,"</formula1>
    </dataValidation>
    <dataValidation type="list" allowBlank="1" showDropDown="0" showInputMessage="1" showErrorMessage="1" sqref="AL5">
      <formula1>"France,Inde,"</formula1>
    </dataValidation>
    <dataValidation type="list" allowBlank="1" showDropDown="0" showInputMessage="1" showErrorMessage="1" sqref="AL6">
      <formula1>"France,Inde,"</formula1>
    </dataValidation>
    <dataValidation type="list" allowBlank="1" showDropDown="0" showInputMessage="1" showErrorMessage="1" sqref="AL7">
      <formula1>"France,Inde,"</formula1>
    </dataValidation>
    <dataValidation type="list" allowBlank="1" showDropDown="0" showInputMessage="1" showErrorMessage="1" sqref="AL8">
      <formula1>"France,Inde,"</formula1>
    </dataValidation>
    <dataValidation type="list" allowBlank="1" showDropDown="0" showInputMessage="1" showErrorMessage="1" sqref="AL9">
      <formula1>"France,Inde,"</formula1>
    </dataValidation>
    <dataValidation type="list" allowBlank="1" showDropDown="0" showInputMessage="1" showErrorMessage="1" sqref="AL10">
      <formula1>"France,Inde,"</formula1>
    </dataValidation>
    <dataValidation type="list" allowBlank="1" showDropDown="0" showInputMessage="1" showErrorMessage="1" sqref="AL11">
      <formula1>"France,Inde,"</formula1>
    </dataValidation>
    <dataValidation type="list" allowBlank="1" showDropDown="0" showInputMessage="1" showErrorMessage="1" sqref="AL12">
      <formula1>"France,Inde,"</formula1>
    </dataValidation>
    <dataValidation type="list" allowBlank="1" showDropDown="0" showInputMessage="1" showErrorMessage="1" sqref="AL13">
      <formula1>"France,Inde,"</formula1>
    </dataValidation>
    <dataValidation type="list" allowBlank="1" showDropDown="0" showInputMessage="1" showErrorMessage="1" sqref="AL14">
      <formula1>"France,Inde,"</formula1>
    </dataValidation>
    <dataValidation type="list" allowBlank="1" showDropDown="0" showInputMessage="1" showErrorMessage="1" sqref="AL15">
      <formula1>"France,Inde,"</formula1>
    </dataValidation>
    <dataValidation type="list" allowBlank="1" showDropDown="0" showInputMessage="1" showErrorMessage="1" sqref="AL16">
      <formula1>"France,Inde,"</formula1>
    </dataValidation>
    <dataValidation type="list" allowBlank="1" showDropDown="0" showInputMessage="1" showErrorMessage="1" sqref="AL17">
      <formula1>"France,Inde,"</formula1>
    </dataValidation>
    <dataValidation type="list" allowBlank="1" showDropDown="0" showInputMessage="1" showErrorMessage="1" sqref="AL18">
      <formula1>"France,Inde,"</formula1>
    </dataValidation>
    <dataValidation type="list" allowBlank="1" showDropDown="0" showInputMessage="1" showErrorMessage="1" sqref="AL19">
      <formula1>"France,Inde,"</formula1>
    </dataValidation>
    <dataValidation type="list" allowBlank="1" showDropDown="0" showInputMessage="1" showErrorMessage="1" sqref="AL20">
      <formula1>"France,Inde,"</formula1>
    </dataValidation>
    <dataValidation type="list" allowBlank="1" showDropDown="0" showInputMessage="1" showErrorMessage="1" sqref="AL21">
      <formula1>"France,Inde,"</formula1>
    </dataValidation>
    <dataValidation type="list" allowBlank="1" showDropDown="0" showInputMessage="1" showErrorMessage="1" sqref="AL22">
      <formula1>"France,Inde,"</formula1>
    </dataValidation>
    <dataValidation type="list" allowBlank="1" showDropDown="0" showInputMessage="1" showErrorMessage="1" sqref="AM3">
      <formula1>"France,Inde,"</formula1>
    </dataValidation>
    <dataValidation type="list" allowBlank="1" showDropDown="0" showInputMessage="1" showErrorMessage="1" sqref="AM4">
      <formula1>"France,Inde,"</formula1>
    </dataValidation>
    <dataValidation type="list" allowBlank="1" showDropDown="0" showInputMessage="1" showErrorMessage="1" sqref="AM5">
      <formula1>"France,Inde,"</formula1>
    </dataValidation>
    <dataValidation type="list" allowBlank="1" showDropDown="0" showInputMessage="1" showErrorMessage="1" sqref="AM6">
      <formula1>"France,Inde,"</formula1>
    </dataValidation>
    <dataValidation type="list" allowBlank="1" showDropDown="0" showInputMessage="1" showErrorMessage="1" sqref="AM7">
      <formula1>"France,Inde,"</formula1>
    </dataValidation>
    <dataValidation type="list" allowBlank="1" showDropDown="0" showInputMessage="1" showErrorMessage="1" sqref="AM8">
      <formula1>"France,Inde,"</formula1>
    </dataValidation>
    <dataValidation type="list" allowBlank="1" showDropDown="0" showInputMessage="1" showErrorMessage="1" sqref="AM9">
      <formula1>"France,Inde,"</formula1>
    </dataValidation>
    <dataValidation type="list" allowBlank="1" showDropDown="0" showInputMessage="1" showErrorMessage="1" sqref="AM10">
      <formula1>"France,Inde,"</formula1>
    </dataValidation>
    <dataValidation type="list" allowBlank="1" showDropDown="0" showInputMessage="1" showErrorMessage="1" sqref="AM11">
      <formula1>"France,Inde,"</formula1>
    </dataValidation>
    <dataValidation type="list" allowBlank="1" showDropDown="0" showInputMessage="1" showErrorMessage="1" sqref="AM12">
      <formula1>"France,Inde,"</formula1>
    </dataValidation>
    <dataValidation type="list" allowBlank="1" showDropDown="0" showInputMessage="1" showErrorMessage="1" sqref="AM13">
      <formula1>"France,Inde,"</formula1>
    </dataValidation>
    <dataValidation type="list" allowBlank="1" showDropDown="0" showInputMessage="1" showErrorMessage="1" sqref="AM14">
      <formula1>"France,Inde,"</formula1>
    </dataValidation>
    <dataValidation type="list" allowBlank="1" showDropDown="0" showInputMessage="1" showErrorMessage="1" sqref="AM15">
      <formula1>"France,Inde,"</formula1>
    </dataValidation>
    <dataValidation type="list" allowBlank="1" showDropDown="0" showInputMessage="1" showErrorMessage="1" sqref="AM16">
      <formula1>"France,Inde,"</formula1>
    </dataValidation>
    <dataValidation type="list" allowBlank="1" showDropDown="0" showInputMessage="1" showErrorMessage="1" sqref="AM17">
      <formula1>"France,Inde,"</formula1>
    </dataValidation>
    <dataValidation type="list" allowBlank="1" showDropDown="0" showInputMessage="1" showErrorMessage="1" sqref="AM18">
      <formula1>"France,Inde,"</formula1>
    </dataValidation>
    <dataValidation type="list" allowBlank="1" showDropDown="0" showInputMessage="1" showErrorMessage="1" sqref="AM19">
      <formula1>"France,Inde,"</formula1>
    </dataValidation>
    <dataValidation type="list" allowBlank="1" showDropDown="0" showInputMessage="1" showErrorMessage="1" sqref="AM20">
      <formula1>"France,Inde,"</formula1>
    </dataValidation>
    <dataValidation type="list" allowBlank="1" showDropDown="0" showInputMessage="1" showErrorMessage="1" sqref="AM21">
      <formula1>"France,Inde,"</formula1>
    </dataValidation>
    <dataValidation type="list" allowBlank="1" showDropDown="0" showInputMessage="1" showErrorMessage="1" sqref="AM22">
      <formula1>"France,Inde,"</formula1>
    </dataValidation>
    <dataValidation type="list" allowBlank="1" showDropDown="0" showInputMessage="1" showErrorMessage="1" sqref="AN3">
      <formula1>"France,Inde,"</formula1>
    </dataValidation>
    <dataValidation type="list" allowBlank="1" showDropDown="0" showInputMessage="1" showErrorMessage="1" sqref="AN4">
      <formula1>"France,Inde,"</formula1>
    </dataValidation>
    <dataValidation type="list" allowBlank="1" showDropDown="0" showInputMessage="1" showErrorMessage="1" sqref="AN5">
      <formula1>"France,Inde,"</formula1>
    </dataValidation>
    <dataValidation type="list" allowBlank="1" showDropDown="0" showInputMessage="1" showErrorMessage="1" sqref="AN6">
      <formula1>"France,Inde,"</formula1>
    </dataValidation>
    <dataValidation type="list" allowBlank="1" showDropDown="0" showInputMessage="1" showErrorMessage="1" sqref="AN7">
      <formula1>"France,Inde,"</formula1>
    </dataValidation>
    <dataValidation type="list" allowBlank="1" showDropDown="0" showInputMessage="1" showErrorMessage="1" sqref="AN8">
      <formula1>"France,Inde,"</formula1>
    </dataValidation>
    <dataValidation type="list" allowBlank="1" showDropDown="0" showInputMessage="1" showErrorMessage="1" sqref="AN9">
      <formula1>"France,Inde,"</formula1>
    </dataValidation>
    <dataValidation type="list" allowBlank="1" showDropDown="0" showInputMessage="1" showErrorMessage="1" sqref="AN10">
      <formula1>"France,Inde,"</formula1>
    </dataValidation>
    <dataValidation type="list" allowBlank="1" showDropDown="0" showInputMessage="1" showErrorMessage="1" sqref="AN11">
      <formula1>"France,Inde,"</formula1>
    </dataValidation>
    <dataValidation type="list" allowBlank="1" showDropDown="0" showInputMessage="1" showErrorMessage="1" sqref="AN12">
      <formula1>"France,Inde,"</formula1>
    </dataValidation>
    <dataValidation type="list" allowBlank="1" showDropDown="0" showInputMessage="1" showErrorMessage="1" sqref="AN13">
      <formula1>"France,Inde,"</formula1>
    </dataValidation>
    <dataValidation type="list" allowBlank="1" showDropDown="0" showInputMessage="1" showErrorMessage="1" sqref="AN14">
      <formula1>"France,Inde,"</formula1>
    </dataValidation>
    <dataValidation type="list" allowBlank="1" showDropDown="0" showInputMessage="1" showErrorMessage="1" sqref="AN15">
      <formula1>"France,Inde,"</formula1>
    </dataValidation>
    <dataValidation type="list" allowBlank="1" showDropDown="0" showInputMessage="1" showErrorMessage="1" sqref="AN16">
      <formula1>"France,Inde,"</formula1>
    </dataValidation>
    <dataValidation type="list" allowBlank="1" showDropDown="0" showInputMessage="1" showErrorMessage="1" sqref="AN17">
      <formula1>"France,Inde,"</formula1>
    </dataValidation>
    <dataValidation type="list" allowBlank="1" showDropDown="0" showInputMessage="1" showErrorMessage="1" sqref="AN18">
      <formula1>"France,Inde,"</formula1>
    </dataValidation>
    <dataValidation type="list" allowBlank="1" showDropDown="0" showInputMessage="1" showErrorMessage="1" sqref="AN19">
      <formula1>"France,Inde,"</formula1>
    </dataValidation>
    <dataValidation type="list" allowBlank="1" showDropDown="0" showInputMessage="1" showErrorMessage="1" sqref="AN20">
      <formula1>"France,Inde,"</formula1>
    </dataValidation>
    <dataValidation type="list" allowBlank="1" showDropDown="0" showInputMessage="1" showErrorMessage="1" sqref="AN21">
      <formula1>"France,Inde,"</formula1>
    </dataValidation>
    <dataValidation type="list" allowBlank="1" showDropDown="0" showInputMessage="1" showErrorMessage="1" sqref="AN22">
      <formula1>"France,Inde,"</formula1>
    </dataValidation>
    <dataValidation type="list" allowBlank="1" showDropDown="0" showInputMessage="1" showErrorMessage="1" sqref="AO3">
      <formula1>"France,Inde,"</formula1>
    </dataValidation>
    <dataValidation type="list" allowBlank="1" showDropDown="0" showInputMessage="1" showErrorMessage="1" sqref="AO4">
      <formula1>"France,Inde,"</formula1>
    </dataValidation>
    <dataValidation type="list" allowBlank="1" showDropDown="0" showInputMessage="1" showErrorMessage="1" sqref="AO5">
      <formula1>"France,Inde,"</formula1>
    </dataValidation>
    <dataValidation type="list" allowBlank="1" showDropDown="0" showInputMessage="1" showErrorMessage="1" sqref="AO6">
      <formula1>"France,Inde,"</formula1>
    </dataValidation>
    <dataValidation type="list" allowBlank="1" showDropDown="0" showInputMessage="1" showErrorMessage="1" sqref="AO7">
      <formula1>"France,Inde,"</formula1>
    </dataValidation>
    <dataValidation type="list" allowBlank="1" showDropDown="0" showInputMessage="1" showErrorMessage="1" sqref="AO8">
      <formula1>"France,Inde,"</formula1>
    </dataValidation>
    <dataValidation type="list" allowBlank="1" showDropDown="0" showInputMessage="1" showErrorMessage="1" sqref="AO9">
      <formula1>"France,Inde,"</formula1>
    </dataValidation>
    <dataValidation type="list" allowBlank="1" showDropDown="0" showInputMessage="1" showErrorMessage="1" sqref="AO10">
      <formula1>"France,Inde,"</formula1>
    </dataValidation>
    <dataValidation type="list" allowBlank="1" showDropDown="0" showInputMessage="1" showErrorMessage="1" sqref="AO11">
      <formula1>"France,Inde,"</formula1>
    </dataValidation>
    <dataValidation type="list" allowBlank="1" showDropDown="0" showInputMessage="1" showErrorMessage="1" sqref="AO12">
      <formula1>"France,Inde,"</formula1>
    </dataValidation>
    <dataValidation type="list" allowBlank="1" showDropDown="0" showInputMessage="1" showErrorMessage="1" sqref="AO13">
      <formula1>"France,Inde,"</formula1>
    </dataValidation>
    <dataValidation type="list" allowBlank="1" showDropDown="0" showInputMessage="1" showErrorMessage="1" sqref="AO14">
      <formula1>"France,Inde,"</formula1>
    </dataValidation>
    <dataValidation type="list" allowBlank="1" showDropDown="0" showInputMessage="1" showErrorMessage="1" sqref="AO15">
      <formula1>"France,Inde,"</formula1>
    </dataValidation>
    <dataValidation type="list" allowBlank="1" showDropDown="0" showInputMessage="1" showErrorMessage="1" sqref="AO16">
      <formula1>"France,Inde,"</formula1>
    </dataValidation>
    <dataValidation type="list" allowBlank="1" showDropDown="0" showInputMessage="1" showErrorMessage="1" sqref="AO17">
      <formula1>"France,Inde,"</formula1>
    </dataValidation>
    <dataValidation type="list" allowBlank="1" showDropDown="0" showInputMessage="1" showErrorMessage="1" sqref="AO18">
      <formula1>"France,Inde,"</formula1>
    </dataValidation>
    <dataValidation type="list" allowBlank="1" showDropDown="0" showInputMessage="1" showErrorMessage="1" sqref="AO19">
      <formula1>"France,Inde,"</formula1>
    </dataValidation>
    <dataValidation type="list" allowBlank="1" showDropDown="0" showInputMessage="1" showErrorMessage="1" sqref="AO20">
      <formula1>"France,Inde,"</formula1>
    </dataValidation>
    <dataValidation type="list" allowBlank="1" showDropDown="0" showInputMessage="1" showErrorMessage="1" sqref="AO21">
      <formula1>"France,Inde,"</formula1>
    </dataValidation>
    <dataValidation type="list" allowBlank="1" showDropDown="0" showInputMessage="1" showErrorMessage="1" sqref="AO22">
      <formula1>"France,Inde,"</formula1>
    </dataValidation>
    <dataValidation type="list" allowBlank="1" showDropDown="0" showInputMessage="1" showErrorMessage="1" sqref="AP3">
      <formula1>"France,Inde,"</formula1>
    </dataValidation>
    <dataValidation type="list" allowBlank="1" showDropDown="0" showInputMessage="1" showErrorMessage="1" sqref="AP4">
      <formula1>"France,Inde,"</formula1>
    </dataValidation>
    <dataValidation type="list" allowBlank="1" showDropDown="0" showInputMessage="1" showErrorMessage="1" sqref="AP5">
      <formula1>"France,Inde,"</formula1>
    </dataValidation>
    <dataValidation type="list" allowBlank="1" showDropDown="0" showInputMessage="1" showErrorMessage="1" sqref="AP6">
      <formula1>"France,Inde,"</formula1>
    </dataValidation>
    <dataValidation type="list" allowBlank="1" showDropDown="0" showInputMessage="1" showErrorMessage="1" sqref="AP7">
      <formula1>"France,Inde,"</formula1>
    </dataValidation>
    <dataValidation type="list" allowBlank="1" showDropDown="0" showInputMessage="1" showErrorMessage="1" sqref="AP8">
      <formula1>"France,Inde,"</formula1>
    </dataValidation>
    <dataValidation type="list" allowBlank="1" showDropDown="0" showInputMessage="1" showErrorMessage="1" sqref="AP9">
      <formula1>"France,Inde,"</formula1>
    </dataValidation>
    <dataValidation type="list" allowBlank="1" showDropDown="0" showInputMessage="1" showErrorMessage="1" sqref="AP10">
      <formula1>"France,Inde,"</formula1>
    </dataValidation>
    <dataValidation type="list" allowBlank="1" showDropDown="0" showInputMessage="1" showErrorMessage="1" sqref="AP11">
      <formula1>"France,Inde,"</formula1>
    </dataValidation>
    <dataValidation type="list" allowBlank="1" showDropDown="0" showInputMessage="1" showErrorMessage="1" sqref="AP12">
      <formula1>"France,Inde,"</formula1>
    </dataValidation>
    <dataValidation type="list" allowBlank="1" showDropDown="0" showInputMessage="1" showErrorMessage="1" sqref="AP13">
      <formula1>"France,Inde,"</formula1>
    </dataValidation>
    <dataValidation type="list" allowBlank="1" showDropDown="0" showInputMessage="1" showErrorMessage="1" sqref="AP14">
      <formula1>"France,Inde,"</formula1>
    </dataValidation>
    <dataValidation type="list" allowBlank="1" showDropDown="0" showInputMessage="1" showErrorMessage="1" sqref="AP15">
      <formula1>"France,Inde,"</formula1>
    </dataValidation>
    <dataValidation type="list" allowBlank="1" showDropDown="0" showInputMessage="1" showErrorMessage="1" sqref="AP16">
      <formula1>"France,Inde,"</formula1>
    </dataValidation>
    <dataValidation type="list" allowBlank="1" showDropDown="0" showInputMessage="1" showErrorMessage="1" sqref="AP17">
      <formula1>"France,Inde,"</formula1>
    </dataValidation>
    <dataValidation type="list" allowBlank="1" showDropDown="0" showInputMessage="1" showErrorMessage="1" sqref="AP18">
      <formula1>"France,Inde,"</formula1>
    </dataValidation>
    <dataValidation type="list" allowBlank="1" showDropDown="0" showInputMessage="1" showErrorMessage="1" sqref="AP19">
      <formula1>"France,Inde,"</formula1>
    </dataValidation>
    <dataValidation type="list" allowBlank="1" showDropDown="0" showInputMessage="1" showErrorMessage="1" sqref="AP20">
      <formula1>"France,Inde,"</formula1>
    </dataValidation>
    <dataValidation type="list" allowBlank="1" showDropDown="0" showInputMessage="1" showErrorMessage="1" sqref="AP21">
      <formula1>"France,Inde,"</formula1>
    </dataValidation>
    <dataValidation type="list" allowBlank="1" showDropDown="0" showInputMessage="1" showErrorMessage="1" sqref="AP22">
      <formula1>"France,Inde,"</formula1>
    </dataValidation>
    <dataValidation type="list" allowBlank="1" showDropDown="0" showInputMessage="1" showErrorMessage="1" sqref="AQ3">
      <formula1>"France,Inde,"</formula1>
    </dataValidation>
    <dataValidation type="list" allowBlank="1" showDropDown="0" showInputMessage="1" showErrorMessage="1" sqref="AQ4">
      <formula1>"France,Inde,"</formula1>
    </dataValidation>
    <dataValidation type="list" allowBlank="1" showDropDown="0" showInputMessage="1" showErrorMessage="1" sqref="AQ5">
      <formula1>"France,Inde,"</formula1>
    </dataValidation>
    <dataValidation type="list" allowBlank="1" showDropDown="0" showInputMessage="1" showErrorMessage="1" sqref="AQ6">
      <formula1>"France,Inde,"</formula1>
    </dataValidation>
    <dataValidation type="list" allowBlank="1" showDropDown="0" showInputMessage="1" showErrorMessage="1" sqref="AQ7">
      <formula1>"France,Inde,"</formula1>
    </dataValidation>
    <dataValidation type="list" allowBlank="1" showDropDown="0" showInputMessage="1" showErrorMessage="1" sqref="AQ8">
      <formula1>"France,Inde,"</formula1>
    </dataValidation>
    <dataValidation type="list" allowBlank="1" showDropDown="0" showInputMessage="1" showErrorMessage="1" sqref="AQ9">
      <formula1>"France,Inde,"</formula1>
    </dataValidation>
    <dataValidation type="list" allowBlank="1" showDropDown="0" showInputMessage="1" showErrorMessage="1" sqref="AQ10">
      <formula1>"France,Inde,"</formula1>
    </dataValidation>
    <dataValidation type="list" allowBlank="1" showDropDown="0" showInputMessage="1" showErrorMessage="1" sqref="AQ11">
      <formula1>"France,Inde,"</formula1>
    </dataValidation>
    <dataValidation type="list" allowBlank="1" showDropDown="0" showInputMessage="1" showErrorMessage="1" sqref="AQ12">
      <formula1>"France,Inde,"</formula1>
    </dataValidation>
    <dataValidation type="list" allowBlank="1" showDropDown="0" showInputMessage="1" showErrorMessage="1" sqref="AQ13">
      <formula1>"France,Inde,"</formula1>
    </dataValidation>
    <dataValidation type="list" allowBlank="1" showDropDown="0" showInputMessage="1" showErrorMessage="1" sqref="AQ14">
      <formula1>"France,Inde,"</formula1>
    </dataValidation>
    <dataValidation type="list" allowBlank="1" showDropDown="0" showInputMessage="1" showErrorMessage="1" sqref="AQ15">
      <formula1>"France,Inde,"</formula1>
    </dataValidation>
    <dataValidation type="list" allowBlank="1" showDropDown="0" showInputMessage="1" showErrorMessage="1" sqref="AQ16">
      <formula1>"France,Inde,"</formula1>
    </dataValidation>
    <dataValidation type="list" allowBlank="1" showDropDown="0" showInputMessage="1" showErrorMessage="1" sqref="AQ17">
      <formula1>"France,Inde,"</formula1>
    </dataValidation>
    <dataValidation type="list" allowBlank="1" showDropDown="0" showInputMessage="1" showErrorMessage="1" sqref="AQ18">
      <formula1>"France,Inde,"</formula1>
    </dataValidation>
    <dataValidation type="list" allowBlank="1" showDropDown="0" showInputMessage="1" showErrorMessage="1" sqref="AQ19">
      <formula1>"France,Inde,"</formula1>
    </dataValidation>
    <dataValidation type="list" allowBlank="1" showDropDown="0" showInputMessage="1" showErrorMessage="1" sqref="AQ20">
      <formula1>"France,Inde,"</formula1>
    </dataValidation>
    <dataValidation type="list" allowBlank="1" showDropDown="0" showInputMessage="1" showErrorMessage="1" sqref="AQ21">
      <formula1>"France,Inde,"</formula1>
    </dataValidation>
    <dataValidation type="list" allowBlank="1" showDropDown="0" showInputMessage="1" showErrorMessage="1" sqref="AQ22">
      <formula1>"France,Inde,"</formula1>
    </dataValidation>
    <dataValidation type="list" allowBlank="1" showDropDown="0" showInputMessage="1" showErrorMessage="1" sqref="AR3">
      <formula1>"France,Inde,"</formula1>
    </dataValidation>
    <dataValidation type="list" allowBlank="1" showDropDown="0" showInputMessage="1" showErrorMessage="1" sqref="AR4">
      <formula1>"France,Inde,"</formula1>
    </dataValidation>
    <dataValidation type="list" allowBlank="1" showDropDown="0" showInputMessage="1" showErrorMessage="1" sqref="AR5">
      <formula1>"France,Inde,"</formula1>
    </dataValidation>
    <dataValidation type="list" allowBlank="1" showDropDown="0" showInputMessage="1" showErrorMessage="1" sqref="AR6">
      <formula1>"France,Inde,"</formula1>
    </dataValidation>
    <dataValidation type="list" allowBlank="1" showDropDown="0" showInputMessage="1" showErrorMessage="1" sqref="AR7">
      <formula1>"France,Inde,"</formula1>
    </dataValidation>
    <dataValidation type="list" allowBlank="1" showDropDown="0" showInputMessage="1" showErrorMessage="1" sqref="AR8">
      <formula1>"France,Inde,"</formula1>
    </dataValidation>
    <dataValidation type="list" allowBlank="1" showDropDown="0" showInputMessage="1" showErrorMessage="1" sqref="AR9">
      <formula1>"France,Inde,"</formula1>
    </dataValidation>
    <dataValidation type="list" allowBlank="1" showDropDown="0" showInputMessage="1" showErrorMessage="1" sqref="AR10">
      <formula1>"France,Inde,"</formula1>
    </dataValidation>
    <dataValidation type="list" allowBlank="1" showDropDown="0" showInputMessage="1" showErrorMessage="1" sqref="AR11">
      <formula1>"France,Inde,"</formula1>
    </dataValidation>
    <dataValidation type="list" allowBlank="1" showDropDown="0" showInputMessage="1" showErrorMessage="1" sqref="AR12">
      <formula1>"France,Inde,"</formula1>
    </dataValidation>
    <dataValidation type="list" allowBlank="1" showDropDown="0" showInputMessage="1" showErrorMessage="1" sqref="AR13">
      <formula1>"France,Inde,"</formula1>
    </dataValidation>
    <dataValidation type="list" allowBlank="1" showDropDown="0" showInputMessage="1" showErrorMessage="1" sqref="AR14">
      <formula1>"France,Inde,"</formula1>
    </dataValidation>
    <dataValidation type="list" allowBlank="1" showDropDown="0" showInputMessage="1" showErrorMessage="1" sqref="AR15">
      <formula1>"France,Inde,"</formula1>
    </dataValidation>
    <dataValidation type="list" allowBlank="1" showDropDown="0" showInputMessage="1" showErrorMessage="1" sqref="AR16">
      <formula1>"France,Inde,"</formula1>
    </dataValidation>
    <dataValidation type="list" allowBlank="1" showDropDown="0" showInputMessage="1" showErrorMessage="1" sqref="AR17">
      <formula1>"France,Inde,"</formula1>
    </dataValidation>
    <dataValidation type="list" allowBlank="1" showDropDown="0" showInputMessage="1" showErrorMessage="1" sqref="AR18">
      <formula1>"France,Inde,"</formula1>
    </dataValidation>
    <dataValidation type="list" allowBlank="1" showDropDown="0" showInputMessage="1" showErrorMessage="1" sqref="AR19">
      <formula1>"France,Inde,"</formula1>
    </dataValidation>
    <dataValidation type="list" allowBlank="1" showDropDown="0" showInputMessage="1" showErrorMessage="1" sqref="AR20">
      <formula1>"France,Inde,"</formula1>
    </dataValidation>
    <dataValidation type="list" allowBlank="1" showDropDown="0" showInputMessage="1" showErrorMessage="1" sqref="AR21">
      <formula1>"France,Inde,"</formula1>
    </dataValidation>
    <dataValidation type="list" allowBlank="1" showDropDown="0" showInputMessage="1" showErrorMessage="1" sqref="AR22">
      <formula1>"France,Inde,"</formula1>
    </dataValidation>
    <dataValidation type="list" allowBlank="1" showDropDown="0" showInputMessage="1" showErrorMessage="1" sqref="AS3">
      <formula1>"France,Inde,"</formula1>
    </dataValidation>
    <dataValidation type="list" allowBlank="1" showDropDown="0" showInputMessage="1" showErrorMessage="1" sqref="AS4">
      <formula1>"France,Inde,"</formula1>
    </dataValidation>
    <dataValidation type="list" allowBlank="1" showDropDown="0" showInputMessage="1" showErrorMessage="1" sqref="AS5">
      <formula1>"France,Inde,"</formula1>
    </dataValidation>
    <dataValidation type="list" allowBlank="1" showDropDown="0" showInputMessage="1" showErrorMessage="1" sqref="AS6">
      <formula1>"France,Inde,"</formula1>
    </dataValidation>
    <dataValidation type="list" allowBlank="1" showDropDown="0" showInputMessage="1" showErrorMessage="1" sqref="AS7">
      <formula1>"France,Inde,"</formula1>
    </dataValidation>
    <dataValidation type="list" allowBlank="1" showDropDown="0" showInputMessage="1" showErrorMessage="1" sqref="AS8">
      <formula1>"France,Inde,"</formula1>
    </dataValidation>
    <dataValidation type="list" allowBlank="1" showDropDown="0" showInputMessage="1" showErrorMessage="1" sqref="AS9">
      <formula1>"France,Inde,"</formula1>
    </dataValidation>
    <dataValidation type="list" allowBlank="1" showDropDown="0" showInputMessage="1" showErrorMessage="1" sqref="AS10">
      <formula1>"France,Inde,"</formula1>
    </dataValidation>
    <dataValidation type="list" allowBlank="1" showDropDown="0" showInputMessage="1" showErrorMessage="1" sqref="AS11">
      <formula1>"France,Inde,"</formula1>
    </dataValidation>
    <dataValidation type="list" allowBlank="1" showDropDown="0" showInputMessage="1" showErrorMessage="1" sqref="AS12">
      <formula1>"France,Inde,"</formula1>
    </dataValidation>
    <dataValidation type="list" allowBlank="1" showDropDown="0" showInputMessage="1" showErrorMessage="1" sqref="AS13">
      <formula1>"France,Inde,"</formula1>
    </dataValidation>
    <dataValidation type="list" allowBlank="1" showDropDown="0" showInputMessage="1" showErrorMessage="1" sqref="AS14">
      <formula1>"France,Inde,"</formula1>
    </dataValidation>
    <dataValidation type="list" allowBlank="1" showDropDown="0" showInputMessage="1" showErrorMessage="1" sqref="AS15">
      <formula1>"France,Inde,"</formula1>
    </dataValidation>
    <dataValidation type="list" allowBlank="1" showDropDown="0" showInputMessage="1" showErrorMessage="1" sqref="AS16">
      <formula1>"France,Inde,"</formula1>
    </dataValidation>
    <dataValidation type="list" allowBlank="1" showDropDown="0" showInputMessage="1" showErrorMessage="1" sqref="AS17">
      <formula1>"France,Inde,"</formula1>
    </dataValidation>
    <dataValidation type="list" allowBlank="1" showDropDown="0" showInputMessage="1" showErrorMessage="1" sqref="AS18">
      <formula1>"France,Inde,"</formula1>
    </dataValidation>
    <dataValidation type="list" allowBlank="1" showDropDown="0" showInputMessage="1" showErrorMessage="1" sqref="AS19">
      <formula1>"France,Inde,"</formula1>
    </dataValidation>
    <dataValidation type="list" allowBlank="1" showDropDown="0" showInputMessage="1" showErrorMessage="1" sqref="AS20">
      <formula1>"France,Inde,"</formula1>
    </dataValidation>
    <dataValidation type="list" allowBlank="1" showDropDown="0" showInputMessage="1" showErrorMessage="1" sqref="AS21">
      <formula1>"France,Inde,"</formula1>
    </dataValidation>
    <dataValidation type="list" allowBlank="1" showDropDown="0" showInputMessage="1" showErrorMessage="1" sqref="AS22">
      <formula1>"France,Inde,"</formula1>
    </dataValidation>
    <dataValidation type="list" allowBlank="1" showDropDown="0" showInputMessage="1" showErrorMessage="1" sqref="AT3">
      <formula1>"France,Inde,"</formula1>
    </dataValidation>
    <dataValidation type="list" allowBlank="1" showDropDown="0" showInputMessage="1" showErrorMessage="1" sqref="AT4">
      <formula1>"France,Inde,"</formula1>
    </dataValidation>
    <dataValidation type="list" allowBlank="1" showDropDown="0" showInputMessage="1" showErrorMessage="1" sqref="AT5">
      <formula1>"France,Inde,"</formula1>
    </dataValidation>
    <dataValidation type="list" allowBlank="1" showDropDown="0" showInputMessage="1" showErrorMessage="1" sqref="AT6">
      <formula1>"France,Inde,"</formula1>
    </dataValidation>
    <dataValidation type="list" allowBlank="1" showDropDown="0" showInputMessage="1" showErrorMessage="1" sqref="AT7">
      <formula1>"France,Inde,"</formula1>
    </dataValidation>
    <dataValidation type="list" allowBlank="1" showDropDown="0" showInputMessage="1" showErrorMessage="1" sqref="AT8">
      <formula1>"France,Inde,"</formula1>
    </dataValidation>
    <dataValidation type="list" allowBlank="1" showDropDown="0" showInputMessage="1" showErrorMessage="1" sqref="AT9">
      <formula1>"France,Inde,"</formula1>
    </dataValidation>
    <dataValidation type="list" allowBlank="1" showDropDown="0" showInputMessage="1" showErrorMessage="1" sqref="AT10">
      <formula1>"France,Inde,"</formula1>
    </dataValidation>
    <dataValidation type="list" allowBlank="1" showDropDown="0" showInputMessage="1" showErrorMessage="1" sqref="AT11">
      <formula1>"France,Inde,"</formula1>
    </dataValidation>
    <dataValidation type="list" allowBlank="1" showDropDown="0" showInputMessage="1" showErrorMessage="1" sqref="AT12">
      <formula1>"France,Inde,"</formula1>
    </dataValidation>
    <dataValidation type="list" allowBlank="1" showDropDown="0" showInputMessage="1" showErrorMessage="1" sqref="AT13">
      <formula1>"France,Inde,"</formula1>
    </dataValidation>
    <dataValidation type="list" allowBlank="1" showDropDown="0" showInputMessage="1" showErrorMessage="1" sqref="AT14">
      <formula1>"France,Inde,"</formula1>
    </dataValidation>
    <dataValidation type="list" allowBlank="1" showDropDown="0" showInputMessage="1" showErrorMessage="1" sqref="AT15">
      <formula1>"France,Inde,"</formula1>
    </dataValidation>
    <dataValidation type="list" allowBlank="1" showDropDown="0" showInputMessage="1" showErrorMessage="1" sqref="AT16">
      <formula1>"France,Inde,"</formula1>
    </dataValidation>
    <dataValidation type="list" allowBlank="1" showDropDown="0" showInputMessage="1" showErrorMessage="1" sqref="AT17">
      <formula1>"France,Inde,"</formula1>
    </dataValidation>
    <dataValidation type="list" allowBlank="1" showDropDown="0" showInputMessage="1" showErrorMessage="1" sqref="AT18">
      <formula1>"France,Inde,"</formula1>
    </dataValidation>
    <dataValidation type="list" allowBlank="1" showDropDown="0" showInputMessage="1" showErrorMessage="1" sqref="AT19">
      <formula1>"France,Inde,"</formula1>
    </dataValidation>
    <dataValidation type="list" allowBlank="1" showDropDown="0" showInputMessage="1" showErrorMessage="1" sqref="AT20">
      <formula1>"France,Inde,"</formula1>
    </dataValidation>
    <dataValidation type="list" allowBlank="1" showDropDown="0" showInputMessage="1" showErrorMessage="1" sqref="AT21">
      <formula1>"France,Inde,"</formula1>
    </dataValidation>
    <dataValidation type="list" allowBlank="1" showDropDown="0" showInputMessage="1" showErrorMessage="1" sqref="AT22">
      <formula1>"France,Inde,"</formula1>
    </dataValidation>
    <dataValidation type="list" allowBlank="1" showDropDown="0" showInputMessage="1" showErrorMessage="1" sqref="AU3">
      <formula1>"France,Inde,"</formula1>
    </dataValidation>
    <dataValidation type="list" allowBlank="1" showDropDown="0" showInputMessage="1" showErrorMessage="1" sqref="AU4">
      <formula1>"France,Inde,"</formula1>
    </dataValidation>
    <dataValidation type="list" allowBlank="1" showDropDown="0" showInputMessage="1" showErrorMessage="1" sqref="AU5">
      <formula1>"France,Inde,"</formula1>
    </dataValidation>
    <dataValidation type="list" allowBlank="1" showDropDown="0" showInputMessage="1" showErrorMessage="1" sqref="AU6">
      <formula1>"France,Inde,"</formula1>
    </dataValidation>
    <dataValidation type="list" allowBlank="1" showDropDown="0" showInputMessage="1" showErrorMessage="1" sqref="AU7">
      <formula1>"France,Inde,"</formula1>
    </dataValidation>
    <dataValidation type="list" allowBlank="1" showDropDown="0" showInputMessage="1" showErrorMessage="1" sqref="AU8">
      <formula1>"France,Inde,"</formula1>
    </dataValidation>
    <dataValidation type="list" allowBlank="1" showDropDown="0" showInputMessage="1" showErrorMessage="1" sqref="AU9">
      <formula1>"France,Inde,"</formula1>
    </dataValidation>
    <dataValidation type="list" allowBlank="1" showDropDown="0" showInputMessage="1" showErrorMessage="1" sqref="AU10">
      <formula1>"France,Inde,"</formula1>
    </dataValidation>
    <dataValidation type="list" allowBlank="1" showDropDown="0" showInputMessage="1" showErrorMessage="1" sqref="AU11">
      <formula1>"France,Inde,"</formula1>
    </dataValidation>
    <dataValidation type="list" allowBlank="1" showDropDown="0" showInputMessage="1" showErrorMessage="1" sqref="AU12">
      <formula1>"France,Inde,"</formula1>
    </dataValidation>
    <dataValidation type="list" allowBlank="1" showDropDown="0" showInputMessage="1" showErrorMessage="1" sqref="AU13">
      <formula1>"France,Inde,"</formula1>
    </dataValidation>
    <dataValidation type="list" allowBlank="1" showDropDown="0" showInputMessage="1" showErrorMessage="1" sqref="AU14">
      <formula1>"France,Inde,"</formula1>
    </dataValidation>
    <dataValidation type="list" allowBlank="1" showDropDown="0" showInputMessage="1" showErrorMessage="1" sqref="AU15">
      <formula1>"France,Inde,"</formula1>
    </dataValidation>
    <dataValidation type="list" allowBlank="1" showDropDown="0" showInputMessage="1" showErrorMessage="1" sqref="AU16">
      <formula1>"France,Inde,"</formula1>
    </dataValidation>
    <dataValidation type="list" allowBlank="1" showDropDown="0" showInputMessage="1" showErrorMessage="1" sqref="AU17">
      <formula1>"France,Inde,"</formula1>
    </dataValidation>
    <dataValidation type="list" allowBlank="1" showDropDown="0" showInputMessage="1" showErrorMessage="1" sqref="AU18">
      <formula1>"France,Inde,"</formula1>
    </dataValidation>
    <dataValidation type="list" allowBlank="1" showDropDown="0" showInputMessage="1" showErrorMessage="1" sqref="AU19">
      <formula1>"France,Inde,"</formula1>
    </dataValidation>
    <dataValidation type="list" allowBlank="1" showDropDown="0" showInputMessage="1" showErrorMessage="1" sqref="AU20">
      <formula1>"France,Inde,"</formula1>
    </dataValidation>
    <dataValidation type="list" allowBlank="1" showDropDown="0" showInputMessage="1" showErrorMessage="1" sqref="AU21">
      <formula1>"France,Inde,"</formula1>
    </dataValidation>
    <dataValidation type="list" allowBlank="1" showDropDown="0" showInputMessage="1" showErrorMessage="1" sqref="AU22">
      <formula1>"France,Inde,"</formula1>
    </dataValidation>
    <dataValidation type="list" allowBlank="1" showDropDown="0" showInputMessage="1" showErrorMessage="1" sqref="AV3">
      <formula1>"France,Inde,"</formula1>
    </dataValidation>
    <dataValidation type="list" allowBlank="1" showDropDown="0" showInputMessage="1" showErrorMessage="1" sqref="AV4">
      <formula1>"France,Inde,"</formula1>
    </dataValidation>
    <dataValidation type="list" allowBlank="1" showDropDown="0" showInputMessage="1" showErrorMessage="1" sqref="AV5">
      <formula1>"France,Inde,"</formula1>
    </dataValidation>
    <dataValidation type="list" allowBlank="1" showDropDown="0" showInputMessage="1" showErrorMessage="1" sqref="AV6">
      <formula1>"France,Inde,"</formula1>
    </dataValidation>
    <dataValidation type="list" allowBlank="1" showDropDown="0" showInputMessage="1" showErrorMessage="1" sqref="AV7">
      <formula1>"France,Inde,"</formula1>
    </dataValidation>
    <dataValidation type="list" allowBlank="1" showDropDown="0" showInputMessage="1" showErrorMessage="1" sqref="AV8">
      <formula1>"France,Inde,"</formula1>
    </dataValidation>
    <dataValidation type="list" allowBlank="1" showDropDown="0" showInputMessage="1" showErrorMessage="1" sqref="AV9">
      <formula1>"France,Inde,"</formula1>
    </dataValidation>
    <dataValidation type="list" allowBlank="1" showDropDown="0" showInputMessage="1" showErrorMessage="1" sqref="AV10">
      <formula1>"France,Inde,"</formula1>
    </dataValidation>
    <dataValidation type="list" allowBlank="1" showDropDown="0" showInputMessage="1" showErrorMessage="1" sqref="AV11">
      <formula1>"France,Inde,"</formula1>
    </dataValidation>
    <dataValidation type="list" allowBlank="1" showDropDown="0" showInputMessage="1" showErrorMessage="1" sqref="AV12">
      <formula1>"France,Inde,"</formula1>
    </dataValidation>
    <dataValidation type="list" allowBlank="1" showDropDown="0" showInputMessage="1" showErrorMessage="1" sqref="AV13">
      <formula1>"France,Inde,"</formula1>
    </dataValidation>
    <dataValidation type="list" allowBlank="1" showDropDown="0" showInputMessage="1" showErrorMessage="1" sqref="AV14">
      <formula1>"France,Inde,"</formula1>
    </dataValidation>
    <dataValidation type="list" allowBlank="1" showDropDown="0" showInputMessage="1" showErrorMessage="1" sqref="AV15">
      <formula1>"France,Inde,"</formula1>
    </dataValidation>
    <dataValidation type="list" allowBlank="1" showDropDown="0" showInputMessage="1" showErrorMessage="1" sqref="AV16">
      <formula1>"France,Inde,"</formula1>
    </dataValidation>
    <dataValidation type="list" allowBlank="1" showDropDown="0" showInputMessage="1" showErrorMessage="1" sqref="AV17">
      <formula1>"France,Inde,"</formula1>
    </dataValidation>
    <dataValidation type="list" allowBlank="1" showDropDown="0" showInputMessage="1" showErrorMessage="1" sqref="AV18">
      <formula1>"France,Inde,"</formula1>
    </dataValidation>
    <dataValidation type="list" allowBlank="1" showDropDown="0" showInputMessage="1" showErrorMessage="1" sqref="AV19">
      <formula1>"France,Inde,"</formula1>
    </dataValidation>
    <dataValidation type="list" allowBlank="1" showDropDown="0" showInputMessage="1" showErrorMessage="1" sqref="AV20">
      <formula1>"France,Inde,"</formula1>
    </dataValidation>
    <dataValidation type="list" allowBlank="1" showDropDown="0" showInputMessage="1" showErrorMessage="1" sqref="AV21">
      <formula1>"France,Inde,"</formula1>
    </dataValidation>
    <dataValidation type="list" allowBlank="1" showDropDown="0" showInputMessage="1" showErrorMessage="1" sqref="AV22">
      <formula1>"France,Inde,"</formula1>
    </dataValidation>
    <dataValidation type="list" allowBlank="1" showDropDown="0" showInputMessage="1" showErrorMessage="1" sqref="AW3">
      <formula1>"France,Inde,"</formula1>
    </dataValidation>
    <dataValidation type="list" allowBlank="1" showDropDown="0" showInputMessage="1" showErrorMessage="1" sqref="AW4">
      <formula1>"France,Inde,"</formula1>
    </dataValidation>
    <dataValidation type="list" allowBlank="1" showDropDown="0" showInputMessage="1" showErrorMessage="1" sqref="AW5">
      <formula1>"France,Inde,"</formula1>
    </dataValidation>
    <dataValidation type="list" allowBlank="1" showDropDown="0" showInputMessage="1" showErrorMessage="1" sqref="AW6">
      <formula1>"France,Inde,"</formula1>
    </dataValidation>
    <dataValidation type="list" allowBlank="1" showDropDown="0" showInputMessage="1" showErrorMessage="1" sqref="AW7">
      <formula1>"France,Inde,"</formula1>
    </dataValidation>
    <dataValidation type="list" allowBlank="1" showDropDown="0" showInputMessage="1" showErrorMessage="1" sqref="AW8">
      <formula1>"France,Inde,"</formula1>
    </dataValidation>
    <dataValidation type="list" allowBlank="1" showDropDown="0" showInputMessage="1" showErrorMessage="1" sqref="AW9">
      <formula1>"France,Inde,"</formula1>
    </dataValidation>
    <dataValidation type="list" allowBlank="1" showDropDown="0" showInputMessage="1" showErrorMessage="1" sqref="AW10">
      <formula1>"France,Inde,"</formula1>
    </dataValidation>
    <dataValidation type="list" allowBlank="1" showDropDown="0" showInputMessage="1" showErrorMessage="1" sqref="AW11">
      <formula1>"France,Inde,"</formula1>
    </dataValidation>
    <dataValidation type="list" allowBlank="1" showDropDown="0" showInputMessage="1" showErrorMessage="1" sqref="AW12">
      <formula1>"France,Inde,"</formula1>
    </dataValidation>
    <dataValidation type="list" allowBlank="1" showDropDown="0" showInputMessage="1" showErrorMessage="1" sqref="AW13">
      <formula1>"France,Inde,"</formula1>
    </dataValidation>
    <dataValidation type="list" allowBlank="1" showDropDown="0" showInputMessage="1" showErrorMessage="1" sqref="AW14">
      <formula1>"France,Inde,"</formula1>
    </dataValidation>
    <dataValidation type="list" allowBlank="1" showDropDown="0" showInputMessage="1" showErrorMessage="1" sqref="AW15">
      <formula1>"France,Inde,"</formula1>
    </dataValidation>
    <dataValidation type="list" allowBlank="1" showDropDown="0" showInputMessage="1" showErrorMessage="1" sqref="AW16">
      <formula1>"France,Inde,"</formula1>
    </dataValidation>
    <dataValidation type="list" allowBlank="1" showDropDown="0" showInputMessage="1" showErrorMessage="1" sqref="AW17">
      <formula1>"France,Inde,"</formula1>
    </dataValidation>
    <dataValidation type="list" allowBlank="1" showDropDown="0" showInputMessage="1" showErrorMessage="1" sqref="AW18">
      <formula1>"France,Inde,"</formula1>
    </dataValidation>
    <dataValidation type="list" allowBlank="1" showDropDown="0" showInputMessage="1" showErrorMessage="1" sqref="AW19">
      <formula1>"France,Inde,"</formula1>
    </dataValidation>
    <dataValidation type="list" allowBlank="1" showDropDown="0" showInputMessage="1" showErrorMessage="1" sqref="AW20">
      <formula1>"France,Inde,"</formula1>
    </dataValidation>
    <dataValidation type="list" allowBlank="1" showDropDown="0" showInputMessage="1" showErrorMessage="1" sqref="AW21">
      <formula1>"France,Inde,"</formula1>
    </dataValidation>
    <dataValidation type="list" allowBlank="1" showDropDown="0" showInputMessage="1" showErrorMessage="1" sqref="AW22">
      <formula1>"France,Inde,"</formula1>
    </dataValidation>
    <dataValidation type="list" allowBlank="1" showDropDown="0" showInputMessage="1" showErrorMessage="1" sqref="AX3">
      <formula1>"France,Inde,"</formula1>
    </dataValidation>
    <dataValidation type="list" allowBlank="1" showDropDown="0" showInputMessage="1" showErrorMessage="1" sqref="AX4">
      <formula1>"France,Inde,"</formula1>
    </dataValidation>
    <dataValidation type="list" allowBlank="1" showDropDown="0" showInputMessage="1" showErrorMessage="1" sqref="AX5">
      <formula1>"France,Inde,"</formula1>
    </dataValidation>
    <dataValidation type="list" allowBlank="1" showDropDown="0" showInputMessage="1" showErrorMessage="1" sqref="AX6">
      <formula1>"France,Inde,"</formula1>
    </dataValidation>
    <dataValidation type="list" allowBlank="1" showDropDown="0" showInputMessage="1" showErrorMessage="1" sqref="AX7">
      <formula1>"France,Inde,"</formula1>
    </dataValidation>
    <dataValidation type="list" allowBlank="1" showDropDown="0" showInputMessage="1" showErrorMessage="1" sqref="AX8">
      <formula1>"France,Inde,"</formula1>
    </dataValidation>
    <dataValidation type="list" allowBlank="1" showDropDown="0" showInputMessage="1" showErrorMessage="1" sqref="AX9">
      <formula1>"France,Inde,"</formula1>
    </dataValidation>
    <dataValidation type="list" allowBlank="1" showDropDown="0" showInputMessage="1" showErrorMessage="1" sqref="AX10">
      <formula1>"France,Inde,"</formula1>
    </dataValidation>
    <dataValidation type="list" allowBlank="1" showDropDown="0" showInputMessage="1" showErrorMessage="1" sqref="AX11">
      <formula1>"France,Inde,"</formula1>
    </dataValidation>
    <dataValidation type="list" allowBlank="1" showDropDown="0" showInputMessage="1" showErrorMessage="1" sqref="AX12">
      <formula1>"France,Inde,"</formula1>
    </dataValidation>
    <dataValidation type="list" allowBlank="1" showDropDown="0" showInputMessage="1" showErrorMessage="1" sqref="AX13">
      <formula1>"France,Inde,"</formula1>
    </dataValidation>
    <dataValidation type="list" allowBlank="1" showDropDown="0" showInputMessage="1" showErrorMessage="1" sqref="AX14">
      <formula1>"France,Inde,"</formula1>
    </dataValidation>
    <dataValidation type="list" allowBlank="1" showDropDown="0" showInputMessage="1" showErrorMessage="1" sqref="AX15">
      <formula1>"France,Inde,"</formula1>
    </dataValidation>
    <dataValidation type="list" allowBlank="1" showDropDown="0" showInputMessage="1" showErrorMessage="1" sqref="AX16">
      <formula1>"France,Inde,"</formula1>
    </dataValidation>
    <dataValidation type="list" allowBlank="1" showDropDown="0" showInputMessage="1" showErrorMessage="1" sqref="AX17">
      <formula1>"France,Inde,"</formula1>
    </dataValidation>
    <dataValidation type="list" allowBlank="1" showDropDown="0" showInputMessage="1" showErrorMessage="1" sqref="AX18">
      <formula1>"France,Inde,"</formula1>
    </dataValidation>
    <dataValidation type="list" allowBlank="1" showDropDown="0" showInputMessage="1" showErrorMessage="1" sqref="AX19">
      <formula1>"France,Inde,"</formula1>
    </dataValidation>
    <dataValidation type="list" allowBlank="1" showDropDown="0" showInputMessage="1" showErrorMessage="1" sqref="AX20">
      <formula1>"France,Inde,"</formula1>
    </dataValidation>
    <dataValidation type="list" allowBlank="1" showDropDown="0" showInputMessage="1" showErrorMessage="1" sqref="AX21">
      <formula1>"France,Inde,"</formula1>
    </dataValidation>
    <dataValidation type="list" allowBlank="1" showDropDown="0" showInputMessage="1" showErrorMessage="1" sqref="AX22">
      <formula1>"France,Inde,"</formula1>
    </dataValidation>
    <dataValidation type="list" allowBlank="1" showDropDown="0" showInputMessage="1" showErrorMessage="1" sqref="AY3">
      <formula1>"France,Inde,"</formula1>
    </dataValidation>
    <dataValidation type="list" allowBlank="1" showDropDown="0" showInputMessage="1" showErrorMessage="1" sqref="AY4">
      <formula1>"France,Inde,"</formula1>
    </dataValidation>
    <dataValidation type="list" allowBlank="1" showDropDown="0" showInputMessage="1" showErrorMessage="1" sqref="AY5">
      <formula1>"France,Inde,"</formula1>
    </dataValidation>
    <dataValidation type="list" allowBlank="1" showDropDown="0" showInputMessage="1" showErrorMessage="1" sqref="AY6">
      <formula1>"France,Inde,"</formula1>
    </dataValidation>
    <dataValidation type="list" allowBlank="1" showDropDown="0" showInputMessage="1" showErrorMessage="1" sqref="AY7">
      <formula1>"France,Inde,"</formula1>
    </dataValidation>
    <dataValidation type="list" allowBlank="1" showDropDown="0" showInputMessage="1" showErrorMessage="1" sqref="AY8">
      <formula1>"France,Inde,"</formula1>
    </dataValidation>
    <dataValidation type="list" allowBlank="1" showDropDown="0" showInputMessage="1" showErrorMessage="1" sqref="AY9">
      <formula1>"France,Inde,"</formula1>
    </dataValidation>
    <dataValidation type="list" allowBlank="1" showDropDown="0" showInputMessage="1" showErrorMessage="1" sqref="AY10">
      <formula1>"France,Inde,"</formula1>
    </dataValidation>
    <dataValidation type="list" allowBlank="1" showDropDown="0" showInputMessage="1" showErrorMessage="1" sqref="AY11">
      <formula1>"France,Inde,"</formula1>
    </dataValidation>
    <dataValidation type="list" allowBlank="1" showDropDown="0" showInputMessage="1" showErrorMessage="1" sqref="AY12">
      <formula1>"France,Inde,"</formula1>
    </dataValidation>
    <dataValidation type="list" allowBlank="1" showDropDown="0" showInputMessage="1" showErrorMessage="1" sqref="AY13">
      <formula1>"France,Inde,"</formula1>
    </dataValidation>
    <dataValidation type="list" allowBlank="1" showDropDown="0" showInputMessage="1" showErrorMessage="1" sqref="AY14">
      <formula1>"France,Inde,"</formula1>
    </dataValidation>
    <dataValidation type="list" allowBlank="1" showDropDown="0" showInputMessage="1" showErrorMessage="1" sqref="AY15">
      <formula1>"France,Inde,"</formula1>
    </dataValidation>
    <dataValidation type="list" allowBlank="1" showDropDown="0" showInputMessage="1" showErrorMessage="1" sqref="AY16">
      <formula1>"France,Inde,"</formula1>
    </dataValidation>
    <dataValidation type="list" allowBlank="1" showDropDown="0" showInputMessage="1" showErrorMessage="1" sqref="AY17">
      <formula1>"France,Inde,"</formula1>
    </dataValidation>
    <dataValidation type="list" allowBlank="1" showDropDown="0" showInputMessage="1" showErrorMessage="1" sqref="AY18">
      <formula1>"France,Inde,"</formula1>
    </dataValidation>
    <dataValidation type="list" allowBlank="1" showDropDown="0" showInputMessage="1" showErrorMessage="1" sqref="AY19">
      <formula1>"France,Inde,"</formula1>
    </dataValidation>
    <dataValidation type="list" allowBlank="1" showDropDown="0" showInputMessage="1" showErrorMessage="1" sqref="AY20">
      <formula1>"France,Inde,"</formula1>
    </dataValidation>
    <dataValidation type="list" allowBlank="1" showDropDown="0" showInputMessage="1" showErrorMessage="1" sqref="AY21">
      <formula1>"France,Inde,"</formula1>
    </dataValidation>
    <dataValidation type="list" allowBlank="1" showDropDown="0" showInputMessage="1" showErrorMessage="1" sqref="AY22">
      <formula1>"France,Inde,"</formula1>
    </dataValidation>
    <dataValidation type="list" allowBlank="1" showDropDown="0" showInputMessage="1" showErrorMessage="1" sqref="AZ3">
      <formula1>"France,Inde,"</formula1>
    </dataValidation>
    <dataValidation type="list" allowBlank="1" showDropDown="0" showInputMessage="1" showErrorMessage="1" sqref="AZ4">
      <formula1>"France,Inde,"</formula1>
    </dataValidation>
    <dataValidation type="list" allowBlank="1" showDropDown="0" showInputMessage="1" showErrorMessage="1" sqref="AZ5">
      <formula1>"France,Inde,"</formula1>
    </dataValidation>
    <dataValidation type="list" allowBlank="1" showDropDown="0" showInputMessage="1" showErrorMessage="1" sqref="AZ6">
      <formula1>"France,Inde,"</formula1>
    </dataValidation>
    <dataValidation type="list" allowBlank="1" showDropDown="0" showInputMessage="1" showErrorMessage="1" sqref="AZ7">
      <formula1>"France,Inde,"</formula1>
    </dataValidation>
    <dataValidation type="list" allowBlank="1" showDropDown="0" showInputMessage="1" showErrorMessage="1" sqref="AZ8">
      <formula1>"France,Inde,"</formula1>
    </dataValidation>
    <dataValidation type="list" allowBlank="1" showDropDown="0" showInputMessage="1" showErrorMessage="1" sqref="AZ9">
      <formula1>"France,Inde,"</formula1>
    </dataValidation>
    <dataValidation type="list" allowBlank="1" showDropDown="0" showInputMessage="1" showErrorMessage="1" sqref="AZ10">
      <formula1>"France,Inde,"</formula1>
    </dataValidation>
    <dataValidation type="list" allowBlank="1" showDropDown="0" showInputMessage="1" showErrorMessage="1" sqref="AZ11">
      <formula1>"France,Inde,"</formula1>
    </dataValidation>
    <dataValidation type="list" allowBlank="1" showDropDown="0" showInputMessage="1" showErrorMessage="1" sqref="AZ12">
      <formula1>"France,Inde,"</formula1>
    </dataValidation>
    <dataValidation type="list" allowBlank="1" showDropDown="0" showInputMessage="1" showErrorMessage="1" sqref="AZ13">
      <formula1>"France,Inde,"</formula1>
    </dataValidation>
    <dataValidation type="list" allowBlank="1" showDropDown="0" showInputMessage="1" showErrorMessage="1" sqref="AZ14">
      <formula1>"France,Inde,"</formula1>
    </dataValidation>
    <dataValidation type="list" allowBlank="1" showDropDown="0" showInputMessage="1" showErrorMessage="1" sqref="AZ15">
      <formula1>"France,Inde,"</formula1>
    </dataValidation>
    <dataValidation type="list" allowBlank="1" showDropDown="0" showInputMessage="1" showErrorMessage="1" sqref="AZ16">
      <formula1>"France,Inde,"</formula1>
    </dataValidation>
    <dataValidation type="list" allowBlank="1" showDropDown="0" showInputMessage="1" showErrorMessage="1" sqref="AZ17">
      <formula1>"France,Inde,"</formula1>
    </dataValidation>
    <dataValidation type="list" allowBlank="1" showDropDown="0" showInputMessage="1" showErrorMessage="1" sqref="AZ18">
      <formula1>"France,Inde,"</formula1>
    </dataValidation>
    <dataValidation type="list" allowBlank="1" showDropDown="0" showInputMessage="1" showErrorMessage="1" sqref="AZ19">
      <formula1>"France,Inde,"</formula1>
    </dataValidation>
    <dataValidation type="list" allowBlank="1" showDropDown="0" showInputMessage="1" showErrorMessage="1" sqref="AZ20">
      <formula1>"France,Inde,"</formula1>
    </dataValidation>
    <dataValidation type="list" allowBlank="1" showDropDown="0" showInputMessage="1" showErrorMessage="1" sqref="AZ21">
      <formula1>"France,Inde,"</formula1>
    </dataValidation>
    <dataValidation type="list" allowBlank="1" showDropDown="0" showInputMessage="1" showErrorMessage="1" sqref="AZ22">
      <formula1>"France,Inde,"</formula1>
    </dataValidation>
    <dataValidation type="list" allowBlank="1" showDropDown="0" showInputMessage="1" showErrorMessage="1" sqref="BA3">
      <formula1>"France,Inde,"</formula1>
    </dataValidation>
    <dataValidation type="list" allowBlank="1" showDropDown="0" showInputMessage="1" showErrorMessage="1" sqref="BA4">
      <formula1>"France,Inde,"</formula1>
    </dataValidation>
    <dataValidation type="list" allowBlank="1" showDropDown="0" showInputMessage="1" showErrorMessage="1" sqref="BA5">
      <formula1>"France,Inde,"</formula1>
    </dataValidation>
    <dataValidation type="list" allowBlank="1" showDropDown="0" showInputMessage="1" showErrorMessage="1" sqref="BA6">
      <formula1>"France,Inde,"</formula1>
    </dataValidation>
    <dataValidation type="list" allowBlank="1" showDropDown="0" showInputMessage="1" showErrorMessage="1" sqref="BA7">
      <formula1>"France,Inde,"</formula1>
    </dataValidation>
    <dataValidation type="list" allowBlank="1" showDropDown="0" showInputMessage="1" showErrorMessage="1" sqref="BA8">
      <formula1>"France,Inde,"</formula1>
    </dataValidation>
    <dataValidation type="list" allowBlank="1" showDropDown="0" showInputMessage="1" showErrorMessage="1" sqref="BA9">
      <formula1>"France,Inde,"</formula1>
    </dataValidation>
    <dataValidation type="list" allowBlank="1" showDropDown="0" showInputMessage="1" showErrorMessage="1" sqref="BA10">
      <formula1>"France,Inde,"</formula1>
    </dataValidation>
    <dataValidation type="list" allowBlank="1" showDropDown="0" showInputMessage="1" showErrorMessage="1" sqref="BA11">
      <formula1>"France,Inde,"</formula1>
    </dataValidation>
    <dataValidation type="list" allowBlank="1" showDropDown="0" showInputMessage="1" showErrorMessage="1" sqref="BA12">
      <formula1>"France,Inde,"</formula1>
    </dataValidation>
    <dataValidation type="list" allowBlank="1" showDropDown="0" showInputMessage="1" showErrorMessage="1" sqref="BA13">
      <formula1>"France,Inde,"</formula1>
    </dataValidation>
    <dataValidation type="list" allowBlank="1" showDropDown="0" showInputMessage="1" showErrorMessage="1" sqref="BA14">
      <formula1>"France,Inde,"</formula1>
    </dataValidation>
    <dataValidation type="list" allowBlank="1" showDropDown="0" showInputMessage="1" showErrorMessage="1" sqref="BA15">
      <formula1>"France,Inde,"</formula1>
    </dataValidation>
    <dataValidation type="list" allowBlank="1" showDropDown="0" showInputMessage="1" showErrorMessage="1" sqref="BA16">
      <formula1>"France,Inde,"</formula1>
    </dataValidation>
    <dataValidation type="list" allowBlank="1" showDropDown="0" showInputMessage="1" showErrorMessage="1" sqref="BA17">
      <formula1>"France,Inde,"</formula1>
    </dataValidation>
    <dataValidation type="list" allowBlank="1" showDropDown="0" showInputMessage="1" showErrorMessage="1" sqref="BA18">
      <formula1>"France,Inde,"</formula1>
    </dataValidation>
    <dataValidation type="list" allowBlank="1" showDropDown="0" showInputMessage="1" showErrorMessage="1" sqref="BA19">
      <formula1>"France,Inde,"</formula1>
    </dataValidation>
    <dataValidation type="list" allowBlank="1" showDropDown="0" showInputMessage="1" showErrorMessage="1" sqref="BA20">
      <formula1>"France,Inde,"</formula1>
    </dataValidation>
    <dataValidation type="list" allowBlank="1" showDropDown="0" showInputMessage="1" showErrorMessage="1" sqref="BA21">
      <formula1>"France,Inde,"</formula1>
    </dataValidation>
    <dataValidation type="list" allowBlank="1" showDropDown="0" showInputMessage="1" showErrorMessage="1" sqref="BA22">
      <formula1>"France,Inde,"</formula1>
    </dataValidation>
    <dataValidation type="list" allowBlank="1" showDropDown="0" showInputMessage="1" showErrorMessage="1" sqref="BB3">
      <formula1>"France,Inde,"</formula1>
    </dataValidation>
    <dataValidation type="list" allowBlank="1" showDropDown="0" showInputMessage="1" showErrorMessage="1" sqref="BB4">
      <formula1>"France,Inde,"</formula1>
    </dataValidation>
    <dataValidation type="list" allowBlank="1" showDropDown="0" showInputMessage="1" showErrorMessage="1" sqref="BB5">
      <formula1>"France,Inde,"</formula1>
    </dataValidation>
    <dataValidation type="list" allowBlank="1" showDropDown="0" showInputMessage="1" showErrorMessage="1" sqref="BB6">
      <formula1>"France,Inde,"</formula1>
    </dataValidation>
    <dataValidation type="list" allowBlank="1" showDropDown="0" showInputMessage="1" showErrorMessage="1" sqref="BB7">
      <formula1>"France,Inde,"</formula1>
    </dataValidation>
    <dataValidation type="list" allowBlank="1" showDropDown="0" showInputMessage="1" showErrorMessage="1" sqref="BB8">
      <formula1>"France,Inde,"</formula1>
    </dataValidation>
    <dataValidation type="list" allowBlank="1" showDropDown="0" showInputMessage="1" showErrorMessage="1" sqref="BB9">
      <formula1>"France,Inde,"</formula1>
    </dataValidation>
    <dataValidation type="list" allowBlank="1" showDropDown="0" showInputMessage="1" showErrorMessage="1" sqref="BB10">
      <formula1>"France,Inde,"</formula1>
    </dataValidation>
    <dataValidation type="list" allowBlank="1" showDropDown="0" showInputMessage="1" showErrorMessage="1" sqref="BB11">
      <formula1>"France,Inde,"</formula1>
    </dataValidation>
    <dataValidation type="list" allowBlank="1" showDropDown="0" showInputMessage="1" showErrorMessage="1" sqref="BB12">
      <formula1>"France,Inde,"</formula1>
    </dataValidation>
    <dataValidation type="list" allowBlank="1" showDropDown="0" showInputMessage="1" showErrorMessage="1" sqref="BB13">
      <formula1>"France,Inde,"</formula1>
    </dataValidation>
    <dataValidation type="list" allowBlank="1" showDropDown="0" showInputMessage="1" showErrorMessage="1" sqref="BB14">
      <formula1>"France,Inde,"</formula1>
    </dataValidation>
    <dataValidation type="list" allowBlank="1" showDropDown="0" showInputMessage="1" showErrorMessage="1" sqref="BB15">
      <formula1>"France,Inde,"</formula1>
    </dataValidation>
    <dataValidation type="list" allowBlank="1" showDropDown="0" showInputMessage="1" showErrorMessage="1" sqref="BB16">
      <formula1>"France,Inde,"</formula1>
    </dataValidation>
    <dataValidation type="list" allowBlank="1" showDropDown="0" showInputMessage="1" showErrorMessage="1" sqref="BB17">
      <formula1>"France,Inde,"</formula1>
    </dataValidation>
    <dataValidation type="list" allowBlank="1" showDropDown="0" showInputMessage="1" showErrorMessage="1" sqref="BB18">
      <formula1>"France,Inde,"</formula1>
    </dataValidation>
    <dataValidation type="list" allowBlank="1" showDropDown="0" showInputMessage="1" showErrorMessage="1" sqref="BB19">
      <formula1>"France,Inde,"</formula1>
    </dataValidation>
    <dataValidation type="list" allowBlank="1" showDropDown="0" showInputMessage="1" showErrorMessage="1" sqref="BB20">
      <formula1>"France,Inde,"</formula1>
    </dataValidation>
    <dataValidation type="list" allowBlank="1" showDropDown="0" showInputMessage="1" showErrorMessage="1" sqref="BB21">
      <formula1>"France,Inde,"</formula1>
    </dataValidation>
    <dataValidation type="list" allowBlank="1" showDropDown="0" showInputMessage="1" showErrorMessage="1" sqref="BB22">
      <formula1>"France,Inde,"</formula1>
    </dataValidation>
    <dataValidation type="list" allowBlank="1" showDropDown="0" showInputMessage="1" showErrorMessage="1" sqref="BC3">
      <formula1>"France,Inde,"</formula1>
    </dataValidation>
    <dataValidation type="list" allowBlank="1" showDropDown="0" showInputMessage="1" showErrorMessage="1" sqref="BC4">
      <formula1>"France,Inde,"</formula1>
    </dataValidation>
    <dataValidation type="list" allowBlank="1" showDropDown="0" showInputMessage="1" showErrorMessage="1" sqref="BC5">
      <formula1>"France,Inde,"</formula1>
    </dataValidation>
    <dataValidation type="list" allowBlank="1" showDropDown="0" showInputMessage="1" showErrorMessage="1" sqref="BC6">
      <formula1>"France,Inde,"</formula1>
    </dataValidation>
    <dataValidation type="list" allowBlank="1" showDropDown="0" showInputMessage="1" showErrorMessage="1" sqref="BC7">
      <formula1>"France,Inde,"</formula1>
    </dataValidation>
    <dataValidation type="list" allowBlank="1" showDropDown="0" showInputMessage="1" showErrorMessage="1" sqref="BC8">
      <formula1>"France,Inde,"</formula1>
    </dataValidation>
    <dataValidation type="list" allowBlank="1" showDropDown="0" showInputMessage="1" showErrorMessage="1" sqref="BC9">
      <formula1>"France,Inde,"</formula1>
    </dataValidation>
    <dataValidation type="list" allowBlank="1" showDropDown="0" showInputMessage="1" showErrorMessage="1" sqref="BC10">
      <formula1>"France,Inde,"</formula1>
    </dataValidation>
    <dataValidation type="list" allowBlank="1" showDropDown="0" showInputMessage="1" showErrorMessage="1" sqref="BC11">
      <formula1>"France,Inde,"</formula1>
    </dataValidation>
    <dataValidation type="list" allowBlank="1" showDropDown="0" showInputMessage="1" showErrorMessage="1" sqref="BC12">
      <formula1>"France,Inde,"</formula1>
    </dataValidation>
    <dataValidation type="list" allowBlank="1" showDropDown="0" showInputMessage="1" showErrorMessage="1" sqref="BC13">
      <formula1>"France,Inde,"</formula1>
    </dataValidation>
    <dataValidation type="list" allowBlank="1" showDropDown="0" showInputMessage="1" showErrorMessage="1" sqref="BC14">
      <formula1>"France,Inde,"</formula1>
    </dataValidation>
    <dataValidation type="list" allowBlank="1" showDropDown="0" showInputMessage="1" showErrorMessage="1" sqref="BC15">
      <formula1>"France,Inde,"</formula1>
    </dataValidation>
    <dataValidation type="list" allowBlank="1" showDropDown="0" showInputMessage="1" showErrorMessage="1" sqref="BC16">
      <formula1>"France,Inde,"</formula1>
    </dataValidation>
    <dataValidation type="list" allowBlank="1" showDropDown="0" showInputMessage="1" showErrorMessage="1" sqref="BC17">
      <formula1>"France,Inde,"</formula1>
    </dataValidation>
    <dataValidation type="list" allowBlank="1" showDropDown="0" showInputMessage="1" showErrorMessage="1" sqref="BC18">
      <formula1>"France,Inde,"</formula1>
    </dataValidation>
    <dataValidation type="list" allowBlank="1" showDropDown="0" showInputMessage="1" showErrorMessage="1" sqref="BC19">
      <formula1>"France,Inde,"</formula1>
    </dataValidation>
    <dataValidation type="list" allowBlank="1" showDropDown="0" showInputMessage="1" showErrorMessage="1" sqref="BC20">
      <formula1>"France,Inde,"</formula1>
    </dataValidation>
    <dataValidation type="list" allowBlank="1" showDropDown="0" showInputMessage="1" showErrorMessage="1" sqref="BC21">
      <formula1>"France,Inde,"</formula1>
    </dataValidation>
    <dataValidation type="list" allowBlank="1" showDropDown="0" showInputMessage="1" showErrorMessage="1" sqref="BC22">
      <formula1>"France,Inde,"</formula1>
    </dataValidation>
    <dataValidation type="list" allowBlank="1" showDropDown="0" showInputMessage="1" showErrorMessage="1" sqref="BD3">
      <formula1>"France,Inde,"</formula1>
    </dataValidation>
    <dataValidation type="list" allowBlank="1" showDropDown="0" showInputMessage="1" showErrorMessage="1" sqref="BD4">
      <formula1>"France,Inde,"</formula1>
    </dataValidation>
    <dataValidation type="list" allowBlank="1" showDropDown="0" showInputMessage="1" showErrorMessage="1" sqref="BD5">
      <formula1>"France,Inde,"</formula1>
    </dataValidation>
    <dataValidation type="list" allowBlank="1" showDropDown="0" showInputMessage="1" showErrorMessage="1" sqref="BD6">
      <formula1>"France,Inde,"</formula1>
    </dataValidation>
    <dataValidation type="list" allowBlank="1" showDropDown="0" showInputMessage="1" showErrorMessage="1" sqref="BD7">
      <formula1>"France,Inde,"</formula1>
    </dataValidation>
    <dataValidation type="list" allowBlank="1" showDropDown="0" showInputMessage="1" showErrorMessage="1" sqref="BD8">
      <formula1>"France,Inde,"</formula1>
    </dataValidation>
    <dataValidation type="list" allowBlank="1" showDropDown="0" showInputMessage="1" showErrorMessage="1" sqref="BD9">
      <formula1>"France,Inde,"</formula1>
    </dataValidation>
    <dataValidation type="list" allowBlank="1" showDropDown="0" showInputMessage="1" showErrorMessage="1" sqref="BD10">
      <formula1>"France,Inde,"</formula1>
    </dataValidation>
    <dataValidation type="list" allowBlank="1" showDropDown="0" showInputMessage="1" showErrorMessage="1" sqref="BD11">
      <formula1>"France,Inde,"</formula1>
    </dataValidation>
    <dataValidation type="list" allowBlank="1" showDropDown="0" showInputMessage="1" showErrorMessage="1" sqref="BD12">
      <formula1>"France,Inde,"</formula1>
    </dataValidation>
    <dataValidation type="list" allowBlank="1" showDropDown="0" showInputMessage="1" showErrorMessage="1" sqref="BD13">
      <formula1>"France,Inde,"</formula1>
    </dataValidation>
    <dataValidation type="list" allowBlank="1" showDropDown="0" showInputMessage="1" showErrorMessage="1" sqref="BD14">
      <formula1>"France,Inde,"</formula1>
    </dataValidation>
    <dataValidation type="list" allowBlank="1" showDropDown="0" showInputMessage="1" showErrorMessage="1" sqref="BD15">
      <formula1>"France,Inde,"</formula1>
    </dataValidation>
    <dataValidation type="list" allowBlank="1" showDropDown="0" showInputMessage="1" showErrorMessage="1" sqref="BD16">
      <formula1>"France,Inde,"</formula1>
    </dataValidation>
    <dataValidation type="list" allowBlank="1" showDropDown="0" showInputMessage="1" showErrorMessage="1" sqref="BD17">
      <formula1>"France,Inde,"</formula1>
    </dataValidation>
    <dataValidation type="list" allowBlank="1" showDropDown="0" showInputMessage="1" showErrorMessage="1" sqref="BD18">
      <formula1>"France,Inde,"</formula1>
    </dataValidation>
    <dataValidation type="list" allowBlank="1" showDropDown="0" showInputMessage="1" showErrorMessage="1" sqref="BD19">
      <formula1>"France,Inde,"</formula1>
    </dataValidation>
    <dataValidation type="list" allowBlank="1" showDropDown="0" showInputMessage="1" showErrorMessage="1" sqref="BD20">
      <formula1>"France,Inde,"</formula1>
    </dataValidation>
    <dataValidation type="list" allowBlank="1" showDropDown="0" showInputMessage="1" showErrorMessage="1" sqref="BD21">
      <formula1>"France,Inde,"</formula1>
    </dataValidation>
    <dataValidation type="list" allowBlank="1" showDropDown="0" showInputMessage="1" showErrorMessage="1" sqref="BD22">
      <formula1>"France,Inde,"</formula1>
    </dataValidation>
    <dataValidation type="list" allowBlank="1" showDropDown="0" showInputMessage="1" showErrorMessage="1" sqref="BE3">
      <formula1>"France,Inde,"</formula1>
    </dataValidation>
    <dataValidation type="list" allowBlank="1" showDropDown="0" showInputMessage="1" showErrorMessage="1" sqref="BE4">
      <formula1>"France,Inde,"</formula1>
    </dataValidation>
    <dataValidation type="list" allowBlank="1" showDropDown="0" showInputMessage="1" showErrorMessage="1" sqref="BE5">
      <formula1>"France,Inde,"</formula1>
    </dataValidation>
    <dataValidation type="list" allowBlank="1" showDropDown="0" showInputMessage="1" showErrorMessage="1" sqref="BE6">
      <formula1>"France,Inde,"</formula1>
    </dataValidation>
    <dataValidation type="list" allowBlank="1" showDropDown="0" showInputMessage="1" showErrorMessage="1" sqref="BE7">
      <formula1>"France,Inde,"</formula1>
    </dataValidation>
    <dataValidation type="list" allowBlank="1" showDropDown="0" showInputMessage="1" showErrorMessage="1" sqref="BE8">
      <formula1>"France,Inde,"</formula1>
    </dataValidation>
    <dataValidation type="list" allowBlank="1" showDropDown="0" showInputMessage="1" showErrorMessage="1" sqref="BE9">
      <formula1>"France,Inde,"</formula1>
    </dataValidation>
    <dataValidation type="list" allowBlank="1" showDropDown="0" showInputMessage="1" showErrorMessage="1" sqref="BE10">
      <formula1>"France,Inde,"</formula1>
    </dataValidation>
    <dataValidation type="list" allowBlank="1" showDropDown="0" showInputMessage="1" showErrorMessage="1" sqref="BE11">
      <formula1>"France,Inde,"</formula1>
    </dataValidation>
    <dataValidation type="list" allowBlank="1" showDropDown="0" showInputMessage="1" showErrorMessage="1" sqref="BE12">
      <formula1>"France,Inde,"</formula1>
    </dataValidation>
    <dataValidation type="list" allowBlank="1" showDropDown="0" showInputMessage="1" showErrorMessage="1" sqref="BE13">
      <formula1>"France,Inde,"</formula1>
    </dataValidation>
    <dataValidation type="list" allowBlank="1" showDropDown="0" showInputMessage="1" showErrorMessage="1" sqref="BE14">
      <formula1>"France,Inde,"</formula1>
    </dataValidation>
    <dataValidation type="list" allowBlank="1" showDropDown="0" showInputMessage="1" showErrorMessage="1" sqref="BE15">
      <formula1>"France,Inde,"</formula1>
    </dataValidation>
    <dataValidation type="list" allowBlank="1" showDropDown="0" showInputMessage="1" showErrorMessage="1" sqref="BE16">
      <formula1>"France,Inde,"</formula1>
    </dataValidation>
    <dataValidation type="list" allowBlank="1" showDropDown="0" showInputMessage="1" showErrorMessage="1" sqref="BE17">
      <formula1>"France,Inde,"</formula1>
    </dataValidation>
    <dataValidation type="list" allowBlank="1" showDropDown="0" showInputMessage="1" showErrorMessage="1" sqref="BE18">
      <formula1>"France,Inde,"</formula1>
    </dataValidation>
    <dataValidation type="list" allowBlank="1" showDropDown="0" showInputMessage="1" showErrorMessage="1" sqref="BE19">
      <formula1>"France,Inde,"</formula1>
    </dataValidation>
    <dataValidation type="list" allowBlank="1" showDropDown="0" showInputMessage="1" showErrorMessage="1" sqref="BE20">
      <formula1>"France,Inde,"</formula1>
    </dataValidation>
    <dataValidation type="list" allowBlank="1" showDropDown="0" showInputMessage="1" showErrorMessage="1" sqref="BE21">
      <formula1>"France,Inde,"</formula1>
    </dataValidation>
    <dataValidation type="list" allowBlank="1" showDropDown="0" showInputMessage="1" showErrorMessage="1" sqref="BE22">
      <formula1>"France,Inde,"</formula1>
    </dataValidation>
    <dataValidation type="list" allowBlank="1" showDropDown="0" showInputMessage="1" showErrorMessage="1" sqref="BF3">
      <formula1>"France,Inde,"</formula1>
    </dataValidation>
    <dataValidation type="list" allowBlank="1" showDropDown="0" showInputMessage="1" showErrorMessage="1" sqref="BF4">
      <formula1>"France,Inde,"</formula1>
    </dataValidation>
    <dataValidation type="list" allowBlank="1" showDropDown="0" showInputMessage="1" showErrorMessage="1" sqref="BF5">
      <formula1>"France,Inde,"</formula1>
    </dataValidation>
    <dataValidation type="list" allowBlank="1" showDropDown="0" showInputMessage="1" showErrorMessage="1" sqref="BF6">
      <formula1>"France,Inde,"</formula1>
    </dataValidation>
    <dataValidation type="list" allowBlank="1" showDropDown="0" showInputMessage="1" showErrorMessage="1" sqref="BF7">
      <formula1>"France,Inde,"</formula1>
    </dataValidation>
    <dataValidation type="list" allowBlank="1" showDropDown="0" showInputMessage="1" showErrorMessage="1" sqref="BF8">
      <formula1>"France,Inde,"</formula1>
    </dataValidation>
    <dataValidation type="list" allowBlank="1" showDropDown="0" showInputMessage="1" showErrorMessage="1" sqref="BF9">
      <formula1>"France,Inde,"</formula1>
    </dataValidation>
    <dataValidation type="list" allowBlank="1" showDropDown="0" showInputMessage="1" showErrorMessage="1" sqref="BF10">
      <formula1>"France,Inde,"</formula1>
    </dataValidation>
    <dataValidation type="list" allowBlank="1" showDropDown="0" showInputMessage="1" showErrorMessage="1" sqref="BF11">
      <formula1>"France,Inde,"</formula1>
    </dataValidation>
    <dataValidation type="list" allowBlank="1" showDropDown="0" showInputMessage="1" showErrorMessage="1" sqref="BF12">
      <formula1>"France,Inde,"</formula1>
    </dataValidation>
    <dataValidation type="list" allowBlank="1" showDropDown="0" showInputMessage="1" showErrorMessage="1" sqref="BF13">
      <formula1>"France,Inde,"</formula1>
    </dataValidation>
    <dataValidation type="list" allowBlank="1" showDropDown="0" showInputMessage="1" showErrorMessage="1" sqref="BF14">
      <formula1>"France,Inde,"</formula1>
    </dataValidation>
    <dataValidation type="list" allowBlank="1" showDropDown="0" showInputMessage="1" showErrorMessage="1" sqref="BF15">
      <formula1>"France,Inde,"</formula1>
    </dataValidation>
    <dataValidation type="list" allowBlank="1" showDropDown="0" showInputMessage="1" showErrorMessage="1" sqref="BF16">
      <formula1>"France,Inde,"</formula1>
    </dataValidation>
    <dataValidation type="list" allowBlank="1" showDropDown="0" showInputMessage="1" showErrorMessage="1" sqref="BF17">
      <formula1>"France,Inde,"</formula1>
    </dataValidation>
    <dataValidation type="list" allowBlank="1" showDropDown="0" showInputMessage="1" showErrorMessage="1" sqref="BF18">
      <formula1>"France,Inde,"</formula1>
    </dataValidation>
    <dataValidation type="list" allowBlank="1" showDropDown="0" showInputMessage="1" showErrorMessage="1" sqref="BF19">
      <formula1>"France,Inde,"</formula1>
    </dataValidation>
    <dataValidation type="list" allowBlank="1" showDropDown="0" showInputMessage="1" showErrorMessage="1" sqref="BF20">
      <formula1>"France,Inde,"</formula1>
    </dataValidation>
    <dataValidation type="list" allowBlank="1" showDropDown="0" showInputMessage="1" showErrorMessage="1" sqref="BF21">
      <formula1>"France,Inde,"</formula1>
    </dataValidation>
    <dataValidation type="list" allowBlank="1" showDropDown="0" showInputMessage="1" showErrorMessage="1" sqref="BF22">
      <formula1>"France,Inde,"</formula1>
    </dataValidation>
    <dataValidation type="list" allowBlank="1" showDropDown="0" showInputMessage="1" showErrorMessage="1" sqref="BG3">
      <formula1>"France,Inde,"</formula1>
    </dataValidation>
    <dataValidation type="list" allowBlank="1" showDropDown="0" showInputMessage="1" showErrorMessage="1" sqref="BG4">
      <formula1>"France,Inde,"</formula1>
    </dataValidation>
    <dataValidation type="list" allowBlank="1" showDropDown="0" showInputMessage="1" showErrorMessage="1" sqref="BG5">
      <formula1>"France,Inde,"</formula1>
    </dataValidation>
    <dataValidation type="list" allowBlank="1" showDropDown="0" showInputMessage="1" showErrorMessage="1" sqref="BG6">
      <formula1>"France,Inde,"</formula1>
    </dataValidation>
    <dataValidation type="list" allowBlank="1" showDropDown="0" showInputMessage="1" showErrorMessage="1" sqref="BG7">
      <formula1>"France,Inde,"</formula1>
    </dataValidation>
    <dataValidation type="list" allowBlank="1" showDropDown="0" showInputMessage="1" showErrorMessage="1" sqref="BG8">
      <formula1>"France,Inde,"</formula1>
    </dataValidation>
    <dataValidation type="list" allowBlank="1" showDropDown="0" showInputMessage="1" showErrorMessage="1" sqref="BG9">
      <formula1>"France,Inde,"</formula1>
    </dataValidation>
    <dataValidation type="list" allowBlank="1" showDropDown="0" showInputMessage="1" showErrorMessage="1" sqref="BG10">
      <formula1>"France,Inde,"</formula1>
    </dataValidation>
    <dataValidation type="list" allowBlank="1" showDropDown="0" showInputMessage="1" showErrorMessage="1" sqref="BG11">
      <formula1>"France,Inde,"</formula1>
    </dataValidation>
    <dataValidation type="list" allowBlank="1" showDropDown="0" showInputMessage="1" showErrorMessage="1" sqref="BG12">
      <formula1>"France,Inde,"</formula1>
    </dataValidation>
    <dataValidation type="list" allowBlank="1" showDropDown="0" showInputMessage="1" showErrorMessage="1" sqref="BG13">
      <formula1>"France,Inde,"</formula1>
    </dataValidation>
    <dataValidation type="list" allowBlank="1" showDropDown="0" showInputMessage="1" showErrorMessage="1" sqref="BG14">
      <formula1>"France,Inde,"</formula1>
    </dataValidation>
    <dataValidation type="list" allowBlank="1" showDropDown="0" showInputMessage="1" showErrorMessage="1" sqref="BG15">
      <formula1>"France,Inde,"</formula1>
    </dataValidation>
    <dataValidation type="list" allowBlank="1" showDropDown="0" showInputMessage="1" showErrorMessage="1" sqref="BG16">
      <formula1>"France,Inde,"</formula1>
    </dataValidation>
    <dataValidation type="list" allowBlank="1" showDropDown="0" showInputMessage="1" showErrorMessage="1" sqref="BG17">
      <formula1>"France,Inde,"</formula1>
    </dataValidation>
    <dataValidation type="list" allowBlank="1" showDropDown="0" showInputMessage="1" showErrorMessage="1" sqref="BG18">
      <formula1>"France,Inde,"</formula1>
    </dataValidation>
    <dataValidation type="list" allowBlank="1" showDropDown="0" showInputMessage="1" showErrorMessage="1" sqref="BG19">
      <formula1>"France,Inde,"</formula1>
    </dataValidation>
    <dataValidation type="list" allowBlank="1" showDropDown="0" showInputMessage="1" showErrorMessage="1" sqref="BG20">
      <formula1>"France,Inde,"</formula1>
    </dataValidation>
    <dataValidation type="list" allowBlank="1" showDropDown="0" showInputMessage="1" showErrorMessage="1" sqref="BG21">
      <formula1>"France,Inde,"</formula1>
    </dataValidation>
    <dataValidation type="list" allowBlank="1" showDropDown="0" showInputMessage="1" showErrorMessage="1" sqref="BG22">
      <formula1>"France,Inde,"</formula1>
    </dataValidation>
    <dataValidation type="list" allowBlank="1" showDropDown="0" showInputMessage="1" showErrorMessage="1" sqref="BH3">
      <formula1>"France,Inde,"</formula1>
    </dataValidation>
    <dataValidation type="list" allowBlank="1" showDropDown="0" showInputMessage="1" showErrorMessage="1" sqref="BH4">
      <formula1>"France,Inde,"</formula1>
    </dataValidation>
    <dataValidation type="list" allowBlank="1" showDropDown="0" showInputMessage="1" showErrorMessage="1" sqref="BH5">
      <formula1>"France,Inde,"</formula1>
    </dataValidation>
    <dataValidation type="list" allowBlank="1" showDropDown="0" showInputMessage="1" showErrorMessage="1" sqref="BH6">
      <formula1>"France,Inde,"</formula1>
    </dataValidation>
    <dataValidation type="list" allowBlank="1" showDropDown="0" showInputMessage="1" showErrorMessage="1" sqref="BH7">
      <formula1>"France,Inde,"</formula1>
    </dataValidation>
    <dataValidation type="list" allowBlank="1" showDropDown="0" showInputMessage="1" showErrorMessage="1" sqref="BH8">
      <formula1>"France,Inde,"</formula1>
    </dataValidation>
    <dataValidation type="list" allowBlank="1" showDropDown="0" showInputMessage="1" showErrorMessage="1" sqref="BH9">
      <formula1>"France,Inde,"</formula1>
    </dataValidation>
    <dataValidation type="list" allowBlank="1" showDropDown="0" showInputMessage="1" showErrorMessage="1" sqref="BH10">
      <formula1>"France,Inde,"</formula1>
    </dataValidation>
    <dataValidation type="list" allowBlank="1" showDropDown="0" showInputMessage="1" showErrorMessage="1" sqref="BH11">
      <formula1>"France,Inde,"</formula1>
    </dataValidation>
    <dataValidation type="list" allowBlank="1" showDropDown="0" showInputMessage="1" showErrorMessage="1" sqref="BH12">
      <formula1>"France,Inde,"</formula1>
    </dataValidation>
    <dataValidation type="list" allowBlank="1" showDropDown="0" showInputMessage="1" showErrorMessage="1" sqref="BH13">
      <formula1>"France,Inde,"</formula1>
    </dataValidation>
    <dataValidation type="list" allowBlank="1" showDropDown="0" showInputMessage="1" showErrorMessage="1" sqref="BH14">
      <formula1>"France,Inde,"</formula1>
    </dataValidation>
    <dataValidation type="list" allowBlank="1" showDropDown="0" showInputMessage="1" showErrorMessage="1" sqref="BH15">
      <formula1>"France,Inde,"</formula1>
    </dataValidation>
    <dataValidation type="list" allowBlank="1" showDropDown="0" showInputMessage="1" showErrorMessage="1" sqref="BH16">
      <formula1>"France,Inde,"</formula1>
    </dataValidation>
    <dataValidation type="list" allowBlank="1" showDropDown="0" showInputMessage="1" showErrorMessage="1" sqref="BH17">
      <formula1>"France,Inde,"</formula1>
    </dataValidation>
    <dataValidation type="list" allowBlank="1" showDropDown="0" showInputMessage="1" showErrorMessage="1" sqref="BH18">
      <formula1>"France,Inde,"</formula1>
    </dataValidation>
    <dataValidation type="list" allowBlank="1" showDropDown="0" showInputMessage="1" showErrorMessage="1" sqref="BH19">
      <formula1>"France,Inde,"</formula1>
    </dataValidation>
    <dataValidation type="list" allowBlank="1" showDropDown="0" showInputMessage="1" showErrorMessage="1" sqref="BH20">
      <formula1>"France,Inde,"</formula1>
    </dataValidation>
    <dataValidation type="list" allowBlank="1" showDropDown="0" showInputMessage="1" showErrorMessage="1" sqref="BH21">
      <formula1>"France,Inde,"</formula1>
    </dataValidation>
    <dataValidation type="list" allowBlank="1" showDropDown="0" showInputMessage="1" showErrorMessage="1" sqref="BH22">
      <formula1>"France,Inde,"</formula1>
    </dataValidation>
    <dataValidation type="list" allowBlank="1" showDropDown="0" showInputMessage="1" showErrorMessage="1" sqref="BI3">
      <formula1>"France,Inde,"</formula1>
    </dataValidation>
    <dataValidation type="list" allowBlank="1" showDropDown="0" showInputMessage="1" showErrorMessage="1" sqref="BI4">
      <formula1>"France,Inde,"</formula1>
    </dataValidation>
    <dataValidation type="list" allowBlank="1" showDropDown="0" showInputMessage="1" showErrorMessage="1" sqref="BI5">
      <formula1>"France,Inde,"</formula1>
    </dataValidation>
    <dataValidation type="list" allowBlank="1" showDropDown="0" showInputMessage="1" showErrorMessage="1" sqref="BI6">
      <formula1>"France,Inde,"</formula1>
    </dataValidation>
    <dataValidation type="list" allowBlank="1" showDropDown="0" showInputMessage="1" showErrorMessage="1" sqref="BI7">
      <formula1>"France,Inde,"</formula1>
    </dataValidation>
    <dataValidation type="list" allowBlank="1" showDropDown="0" showInputMessage="1" showErrorMessage="1" sqref="BI8">
      <formula1>"France,Inde,"</formula1>
    </dataValidation>
    <dataValidation type="list" allowBlank="1" showDropDown="0" showInputMessage="1" showErrorMessage="1" sqref="BI9">
      <formula1>"France,Inde,"</formula1>
    </dataValidation>
    <dataValidation type="list" allowBlank="1" showDropDown="0" showInputMessage="1" showErrorMessage="1" sqref="BI10">
      <formula1>"France,Inde,"</formula1>
    </dataValidation>
    <dataValidation type="list" allowBlank="1" showDropDown="0" showInputMessage="1" showErrorMessage="1" sqref="BI11">
      <formula1>"France,Inde,"</formula1>
    </dataValidation>
    <dataValidation type="list" allowBlank="1" showDropDown="0" showInputMessage="1" showErrorMessage="1" sqref="BI12">
      <formula1>"France,Inde,"</formula1>
    </dataValidation>
    <dataValidation type="list" allowBlank="1" showDropDown="0" showInputMessage="1" showErrorMessage="1" sqref="BI13">
      <formula1>"France,Inde,"</formula1>
    </dataValidation>
    <dataValidation type="list" allowBlank="1" showDropDown="0" showInputMessage="1" showErrorMessage="1" sqref="BI14">
      <formula1>"France,Inde,"</formula1>
    </dataValidation>
    <dataValidation type="list" allowBlank="1" showDropDown="0" showInputMessage="1" showErrorMessage="1" sqref="BI15">
      <formula1>"France,Inde,"</formula1>
    </dataValidation>
    <dataValidation type="list" allowBlank="1" showDropDown="0" showInputMessage="1" showErrorMessage="1" sqref="BI16">
      <formula1>"France,Inde,"</formula1>
    </dataValidation>
    <dataValidation type="list" allowBlank="1" showDropDown="0" showInputMessage="1" showErrorMessage="1" sqref="BI17">
      <formula1>"France,Inde,"</formula1>
    </dataValidation>
    <dataValidation type="list" allowBlank="1" showDropDown="0" showInputMessage="1" showErrorMessage="1" sqref="BI18">
      <formula1>"France,Inde,"</formula1>
    </dataValidation>
    <dataValidation type="list" allowBlank="1" showDropDown="0" showInputMessage="1" showErrorMessage="1" sqref="BI19">
      <formula1>"France,Inde,"</formula1>
    </dataValidation>
    <dataValidation type="list" allowBlank="1" showDropDown="0" showInputMessage="1" showErrorMessage="1" sqref="BI20">
      <formula1>"France,Inde,"</formula1>
    </dataValidation>
    <dataValidation type="list" allowBlank="1" showDropDown="0" showInputMessage="1" showErrorMessage="1" sqref="BI21">
      <formula1>"France,Inde,"</formula1>
    </dataValidation>
    <dataValidation type="list" allowBlank="1" showDropDown="0" showInputMessage="1" showErrorMessage="1" sqref="BI22">
      <formula1>"France,Inde,"</formula1>
    </dataValidation>
    <dataValidation type="list" allowBlank="1" showDropDown="0" showInputMessage="1" showErrorMessage="1" sqref="BJ3">
      <formula1>"France,Inde,"</formula1>
    </dataValidation>
    <dataValidation type="list" allowBlank="1" showDropDown="0" showInputMessage="1" showErrorMessage="1" sqref="BJ4">
      <formula1>"France,Inde,"</formula1>
    </dataValidation>
    <dataValidation type="list" allowBlank="1" showDropDown="0" showInputMessage="1" showErrorMessage="1" sqref="BJ5">
      <formula1>"France,Inde,"</formula1>
    </dataValidation>
    <dataValidation type="list" allowBlank="1" showDropDown="0" showInputMessage="1" showErrorMessage="1" sqref="BJ6">
      <formula1>"France,Inde,"</formula1>
    </dataValidation>
    <dataValidation type="list" allowBlank="1" showDropDown="0" showInputMessage="1" showErrorMessage="1" sqref="BJ7">
      <formula1>"France,Inde,"</formula1>
    </dataValidation>
    <dataValidation type="list" allowBlank="1" showDropDown="0" showInputMessage="1" showErrorMessage="1" sqref="BJ8">
      <formula1>"France,Inde,"</formula1>
    </dataValidation>
    <dataValidation type="list" allowBlank="1" showDropDown="0" showInputMessage="1" showErrorMessage="1" sqref="BJ9">
      <formula1>"France,Inde,"</formula1>
    </dataValidation>
    <dataValidation type="list" allowBlank="1" showDropDown="0" showInputMessage="1" showErrorMessage="1" sqref="BJ10">
      <formula1>"France,Inde,"</formula1>
    </dataValidation>
    <dataValidation type="list" allowBlank="1" showDropDown="0" showInputMessage="1" showErrorMessage="1" sqref="BJ11">
      <formula1>"France,Inde,"</formula1>
    </dataValidation>
    <dataValidation type="list" allowBlank="1" showDropDown="0" showInputMessage="1" showErrorMessage="1" sqref="BJ12">
      <formula1>"France,Inde,"</formula1>
    </dataValidation>
    <dataValidation type="list" allowBlank="1" showDropDown="0" showInputMessage="1" showErrorMessage="1" sqref="BJ13">
      <formula1>"France,Inde,"</formula1>
    </dataValidation>
    <dataValidation type="list" allowBlank="1" showDropDown="0" showInputMessage="1" showErrorMessage="1" sqref="BJ14">
      <formula1>"France,Inde,"</formula1>
    </dataValidation>
    <dataValidation type="list" allowBlank="1" showDropDown="0" showInputMessage="1" showErrorMessage="1" sqref="BJ15">
      <formula1>"France,Inde,"</formula1>
    </dataValidation>
    <dataValidation type="list" allowBlank="1" showDropDown="0" showInputMessage="1" showErrorMessage="1" sqref="BJ16">
      <formula1>"France,Inde,"</formula1>
    </dataValidation>
    <dataValidation type="list" allowBlank="1" showDropDown="0" showInputMessage="1" showErrorMessage="1" sqref="BJ17">
      <formula1>"France,Inde,"</formula1>
    </dataValidation>
    <dataValidation type="list" allowBlank="1" showDropDown="0" showInputMessage="1" showErrorMessage="1" sqref="BJ18">
      <formula1>"France,Inde,"</formula1>
    </dataValidation>
    <dataValidation type="list" allowBlank="1" showDropDown="0" showInputMessage="1" showErrorMessage="1" sqref="BJ19">
      <formula1>"France,Inde,"</formula1>
    </dataValidation>
    <dataValidation type="list" allowBlank="1" showDropDown="0" showInputMessage="1" showErrorMessage="1" sqref="BJ20">
      <formula1>"France,Inde,"</formula1>
    </dataValidation>
    <dataValidation type="list" allowBlank="1" showDropDown="0" showInputMessage="1" showErrorMessage="1" sqref="BJ21">
      <formula1>"France,Inde,"</formula1>
    </dataValidation>
    <dataValidation type="list" allowBlank="1" showDropDown="0" showInputMessage="1" showErrorMessage="1" sqref="BJ22">
      <formula1>"France,Inde,"</formula1>
    </dataValidation>
    <dataValidation type="list" allowBlank="1" showDropDown="0" showInputMessage="1" showErrorMessage="1" sqref="BK3">
      <formula1>"France,Inde,"</formula1>
    </dataValidation>
    <dataValidation type="list" allowBlank="1" showDropDown="0" showInputMessage="1" showErrorMessage="1" sqref="BK4">
      <formula1>"France,Inde,"</formula1>
    </dataValidation>
    <dataValidation type="list" allowBlank="1" showDropDown="0" showInputMessage="1" showErrorMessage="1" sqref="BK5">
      <formula1>"France,Inde,"</formula1>
    </dataValidation>
    <dataValidation type="list" allowBlank="1" showDropDown="0" showInputMessage="1" showErrorMessage="1" sqref="BK6">
      <formula1>"France,Inde,"</formula1>
    </dataValidation>
    <dataValidation type="list" allowBlank="1" showDropDown="0" showInputMessage="1" showErrorMessage="1" sqref="BK7">
      <formula1>"France,Inde,"</formula1>
    </dataValidation>
    <dataValidation type="list" allowBlank="1" showDropDown="0" showInputMessage="1" showErrorMessage="1" sqref="BK8">
      <formula1>"France,Inde,"</formula1>
    </dataValidation>
    <dataValidation type="list" allowBlank="1" showDropDown="0" showInputMessage="1" showErrorMessage="1" sqref="BK9">
      <formula1>"France,Inde,"</formula1>
    </dataValidation>
    <dataValidation type="list" allowBlank="1" showDropDown="0" showInputMessage="1" showErrorMessage="1" sqref="BK10">
      <formula1>"France,Inde,"</formula1>
    </dataValidation>
    <dataValidation type="list" allowBlank="1" showDropDown="0" showInputMessage="1" showErrorMessage="1" sqref="BK11">
      <formula1>"France,Inde,"</formula1>
    </dataValidation>
    <dataValidation type="list" allowBlank="1" showDropDown="0" showInputMessage="1" showErrorMessage="1" sqref="BK12">
      <formula1>"France,Inde,"</formula1>
    </dataValidation>
    <dataValidation type="list" allowBlank="1" showDropDown="0" showInputMessage="1" showErrorMessage="1" sqref="BK13">
      <formula1>"France,Inde,"</formula1>
    </dataValidation>
    <dataValidation type="list" allowBlank="1" showDropDown="0" showInputMessage="1" showErrorMessage="1" sqref="BK14">
      <formula1>"France,Inde,"</formula1>
    </dataValidation>
    <dataValidation type="list" allowBlank="1" showDropDown="0" showInputMessage="1" showErrorMessage="1" sqref="BK15">
      <formula1>"France,Inde,"</formula1>
    </dataValidation>
    <dataValidation type="list" allowBlank="1" showDropDown="0" showInputMessage="1" showErrorMessage="1" sqref="BK16">
      <formula1>"France,Inde,"</formula1>
    </dataValidation>
    <dataValidation type="list" allowBlank="1" showDropDown="0" showInputMessage="1" showErrorMessage="1" sqref="BK17">
      <formula1>"France,Inde,"</formula1>
    </dataValidation>
    <dataValidation type="list" allowBlank="1" showDropDown="0" showInputMessage="1" showErrorMessage="1" sqref="BK18">
      <formula1>"France,Inde,"</formula1>
    </dataValidation>
    <dataValidation type="list" allowBlank="1" showDropDown="0" showInputMessage="1" showErrorMessage="1" sqref="BK19">
      <formula1>"France,Inde,"</formula1>
    </dataValidation>
    <dataValidation type="list" allowBlank="1" showDropDown="0" showInputMessage="1" showErrorMessage="1" sqref="BK20">
      <formula1>"France,Inde,"</formula1>
    </dataValidation>
    <dataValidation type="list" allowBlank="1" showDropDown="0" showInputMessage="1" showErrorMessage="1" sqref="BK21">
      <formula1>"France,Inde,"</formula1>
    </dataValidation>
    <dataValidation type="list" allowBlank="1" showDropDown="0" showInputMessage="1" showErrorMessage="1" sqref="BK22">
      <formula1>"France,Inde,"</formula1>
    </dataValidation>
    <dataValidation type="list" allowBlank="1" showDropDown="0" showInputMessage="1" showErrorMessage="1" sqref="BL3">
      <formula1>"France,Inde,"</formula1>
    </dataValidation>
    <dataValidation type="list" allowBlank="1" showDropDown="0" showInputMessage="1" showErrorMessage="1" sqref="BL4">
      <formula1>"France,Inde,"</formula1>
    </dataValidation>
    <dataValidation type="list" allowBlank="1" showDropDown="0" showInputMessage="1" showErrorMessage="1" sqref="BL5">
      <formula1>"France,Inde,"</formula1>
    </dataValidation>
    <dataValidation type="list" allowBlank="1" showDropDown="0" showInputMessage="1" showErrorMessage="1" sqref="BL6">
      <formula1>"France,Inde,"</formula1>
    </dataValidation>
    <dataValidation type="list" allowBlank="1" showDropDown="0" showInputMessage="1" showErrorMessage="1" sqref="BL7">
      <formula1>"France,Inde,"</formula1>
    </dataValidation>
    <dataValidation type="list" allowBlank="1" showDropDown="0" showInputMessage="1" showErrorMessage="1" sqref="BL8">
      <formula1>"France,Inde,"</formula1>
    </dataValidation>
    <dataValidation type="list" allowBlank="1" showDropDown="0" showInputMessage="1" showErrorMessage="1" sqref="BL9">
      <formula1>"France,Inde,"</formula1>
    </dataValidation>
    <dataValidation type="list" allowBlank="1" showDropDown="0" showInputMessage="1" showErrorMessage="1" sqref="BL10">
      <formula1>"France,Inde,"</formula1>
    </dataValidation>
    <dataValidation type="list" allowBlank="1" showDropDown="0" showInputMessage="1" showErrorMessage="1" sqref="BL11">
      <formula1>"France,Inde,"</formula1>
    </dataValidation>
    <dataValidation type="list" allowBlank="1" showDropDown="0" showInputMessage="1" showErrorMessage="1" sqref="BL12">
      <formula1>"France,Inde,"</formula1>
    </dataValidation>
    <dataValidation type="list" allowBlank="1" showDropDown="0" showInputMessage="1" showErrorMessage="1" sqref="BL13">
      <formula1>"France,Inde,"</formula1>
    </dataValidation>
    <dataValidation type="list" allowBlank="1" showDropDown="0" showInputMessage="1" showErrorMessage="1" sqref="BL14">
      <formula1>"France,Inde,"</formula1>
    </dataValidation>
    <dataValidation type="list" allowBlank="1" showDropDown="0" showInputMessage="1" showErrorMessage="1" sqref="BL15">
      <formula1>"France,Inde,"</formula1>
    </dataValidation>
    <dataValidation type="list" allowBlank="1" showDropDown="0" showInputMessage="1" showErrorMessage="1" sqref="BL16">
      <formula1>"France,Inde,"</formula1>
    </dataValidation>
    <dataValidation type="list" allowBlank="1" showDropDown="0" showInputMessage="1" showErrorMessage="1" sqref="BL17">
      <formula1>"France,Inde,"</formula1>
    </dataValidation>
    <dataValidation type="list" allowBlank="1" showDropDown="0" showInputMessage="1" showErrorMessage="1" sqref="BL18">
      <formula1>"France,Inde,"</formula1>
    </dataValidation>
    <dataValidation type="list" allowBlank="1" showDropDown="0" showInputMessage="1" showErrorMessage="1" sqref="BL19">
      <formula1>"France,Inde,"</formula1>
    </dataValidation>
    <dataValidation type="list" allowBlank="1" showDropDown="0" showInputMessage="1" showErrorMessage="1" sqref="BL20">
      <formula1>"France,Inde,"</formula1>
    </dataValidation>
    <dataValidation type="list" allowBlank="1" showDropDown="0" showInputMessage="1" showErrorMessage="1" sqref="BL21">
      <formula1>"France,Inde,"</formula1>
    </dataValidation>
    <dataValidation type="list" allowBlank="1" showDropDown="0" showInputMessage="1" showErrorMessage="1" sqref="BL22">
      <formula1>"France,Inde,"</formula1>
    </dataValidation>
    <dataValidation type="list" allowBlank="1" showDropDown="0" showInputMessage="1" showErrorMessage="1" sqref="BM3">
      <formula1>"France,Inde,"</formula1>
    </dataValidation>
    <dataValidation type="list" allowBlank="1" showDropDown="0" showInputMessage="1" showErrorMessage="1" sqref="BM4">
      <formula1>"France,Inde,"</formula1>
    </dataValidation>
    <dataValidation type="list" allowBlank="1" showDropDown="0" showInputMessage="1" showErrorMessage="1" sqref="BM5">
      <formula1>"France,Inde,"</formula1>
    </dataValidation>
    <dataValidation type="list" allowBlank="1" showDropDown="0" showInputMessage="1" showErrorMessage="1" sqref="BM6">
      <formula1>"France,Inde,"</formula1>
    </dataValidation>
    <dataValidation type="list" allowBlank="1" showDropDown="0" showInputMessage="1" showErrorMessage="1" sqref="BM7">
      <formula1>"France,Inde,"</formula1>
    </dataValidation>
    <dataValidation type="list" allowBlank="1" showDropDown="0" showInputMessage="1" showErrorMessage="1" sqref="BM8">
      <formula1>"France,Inde,"</formula1>
    </dataValidation>
    <dataValidation type="list" allowBlank="1" showDropDown="0" showInputMessage="1" showErrorMessage="1" sqref="BM9">
      <formula1>"France,Inde,"</formula1>
    </dataValidation>
    <dataValidation type="list" allowBlank="1" showDropDown="0" showInputMessage="1" showErrorMessage="1" sqref="BM10">
      <formula1>"France,Inde,"</formula1>
    </dataValidation>
    <dataValidation type="list" allowBlank="1" showDropDown="0" showInputMessage="1" showErrorMessage="1" sqref="BM11">
      <formula1>"France,Inde,"</formula1>
    </dataValidation>
    <dataValidation type="list" allowBlank="1" showDropDown="0" showInputMessage="1" showErrorMessage="1" sqref="BM12">
      <formula1>"France,Inde,"</formula1>
    </dataValidation>
    <dataValidation type="list" allowBlank="1" showDropDown="0" showInputMessage="1" showErrorMessage="1" sqref="BM13">
      <formula1>"France,Inde,"</formula1>
    </dataValidation>
    <dataValidation type="list" allowBlank="1" showDropDown="0" showInputMessage="1" showErrorMessage="1" sqref="BM14">
      <formula1>"France,Inde,"</formula1>
    </dataValidation>
    <dataValidation type="list" allowBlank="1" showDropDown="0" showInputMessage="1" showErrorMessage="1" sqref="BM15">
      <formula1>"France,Inde,"</formula1>
    </dataValidation>
    <dataValidation type="list" allowBlank="1" showDropDown="0" showInputMessage="1" showErrorMessage="1" sqref="BM16">
      <formula1>"France,Inde,"</formula1>
    </dataValidation>
    <dataValidation type="list" allowBlank="1" showDropDown="0" showInputMessage="1" showErrorMessage="1" sqref="BM17">
      <formula1>"France,Inde,"</formula1>
    </dataValidation>
    <dataValidation type="list" allowBlank="1" showDropDown="0" showInputMessage="1" showErrorMessage="1" sqref="BM18">
      <formula1>"France,Inde,"</formula1>
    </dataValidation>
    <dataValidation type="list" allowBlank="1" showDropDown="0" showInputMessage="1" showErrorMessage="1" sqref="BM19">
      <formula1>"France,Inde,"</formula1>
    </dataValidation>
    <dataValidation type="list" allowBlank="1" showDropDown="0" showInputMessage="1" showErrorMessage="1" sqref="BM20">
      <formula1>"France,Inde,"</formula1>
    </dataValidation>
    <dataValidation type="list" allowBlank="1" showDropDown="0" showInputMessage="1" showErrorMessage="1" sqref="BM21">
      <formula1>"France,Inde,"</formula1>
    </dataValidation>
    <dataValidation type="list" allowBlank="1" showDropDown="0" showInputMessage="1" showErrorMessage="1" sqref="BM22">
      <formula1>"France,Inde,"</formula1>
    </dataValidation>
    <dataValidation type="list" allowBlank="1" showDropDown="0" showInputMessage="1" showErrorMessage="1" sqref="BN3">
      <formula1>"France,Inde,"</formula1>
    </dataValidation>
    <dataValidation type="list" allowBlank="1" showDropDown="0" showInputMessage="1" showErrorMessage="1" sqref="BN4">
      <formula1>"France,Inde,"</formula1>
    </dataValidation>
    <dataValidation type="list" allowBlank="1" showDropDown="0" showInputMessage="1" showErrorMessage="1" sqref="BN5">
      <formula1>"France,Inde,"</formula1>
    </dataValidation>
    <dataValidation type="list" allowBlank="1" showDropDown="0" showInputMessage="1" showErrorMessage="1" sqref="BN6">
      <formula1>"France,Inde,"</formula1>
    </dataValidation>
    <dataValidation type="list" allowBlank="1" showDropDown="0" showInputMessage="1" showErrorMessage="1" sqref="BN7">
      <formula1>"France,Inde,"</formula1>
    </dataValidation>
    <dataValidation type="list" allowBlank="1" showDropDown="0" showInputMessage="1" showErrorMessage="1" sqref="BN8">
      <formula1>"France,Inde,"</formula1>
    </dataValidation>
    <dataValidation type="list" allowBlank="1" showDropDown="0" showInputMessage="1" showErrorMessage="1" sqref="BN9">
      <formula1>"France,Inde,"</formula1>
    </dataValidation>
    <dataValidation type="list" allowBlank="1" showDropDown="0" showInputMessage="1" showErrorMessage="1" sqref="BN10">
      <formula1>"France,Inde,"</formula1>
    </dataValidation>
    <dataValidation type="list" allowBlank="1" showDropDown="0" showInputMessage="1" showErrorMessage="1" sqref="BN11">
      <formula1>"France,Inde,"</formula1>
    </dataValidation>
    <dataValidation type="list" allowBlank="1" showDropDown="0" showInputMessage="1" showErrorMessage="1" sqref="BN12">
      <formula1>"France,Inde,"</formula1>
    </dataValidation>
    <dataValidation type="list" allowBlank="1" showDropDown="0" showInputMessage="1" showErrorMessage="1" sqref="BN13">
      <formula1>"France,Inde,"</formula1>
    </dataValidation>
    <dataValidation type="list" allowBlank="1" showDropDown="0" showInputMessage="1" showErrorMessage="1" sqref="BN14">
      <formula1>"France,Inde,"</formula1>
    </dataValidation>
    <dataValidation type="list" allowBlank="1" showDropDown="0" showInputMessage="1" showErrorMessage="1" sqref="BN15">
      <formula1>"France,Inde,"</formula1>
    </dataValidation>
    <dataValidation type="list" allowBlank="1" showDropDown="0" showInputMessage="1" showErrorMessage="1" sqref="BN16">
      <formula1>"France,Inde,"</formula1>
    </dataValidation>
    <dataValidation type="list" allowBlank="1" showDropDown="0" showInputMessage="1" showErrorMessage="1" sqref="BN17">
      <formula1>"France,Inde,"</formula1>
    </dataValidation>
    <dataValidation type="list" allowBlank="1" showDropDown="0" showInputMessage="1" showErrorMessage="1" sqref="BN18">
      <formula1>"France,Inde,"</formula1>
    </dataValidation>
    <dataValidation type="list" allowBlank="1" showDropDown="0" showInputMessage="1" showErrorMessage="1" sqref="BN19">
      <formula1>"France,Inde,"</formula1>
    </dataValidation>
    <dataValidation type="list" allowBlank="1" showDropDown="0" showInputMessage="1" showErrorMessage="1" sqref="BN20">
      <formula1>"France,Inde,"</formula1>
    </dataValidation>
    <dataValidation type="list" allowBlank="1" showDropDown="0" showInputMessage="1" showErrorMessage="1" sqref="BN21">
      <formula1>"France,Inde,"</formula1>
    </dataValidation>
    <dataValidation type="list" allowBlank="1" showDropDown="0" showInputMessage="1" showErrorMessage="1" sqref="BN22">
      <formula1>"France,Inde,"</formula1>
    </dataValidation>
    <dataValidation type="list" allowBlank="1" showDropDown="0" showInputMessage="1" showErrorMessage="1" sqref="BO3">
      <formula1>"France,Inde,"</formula1>
    </dataValidation>
    <dataValidation type="list" allowBlank="1" showDropDown="0" showInputMessage="1" showErrorMessage="1" sqref="BO4">
      <formula1>"France,Inde,"</formula1>
    </dataValidation>
    <dataValidation type="list" allowBlank="1" showDropDown="0" showInputMessage="1" showErrorMessage="1" sqref="BO5">
      <formula1>"France,Inde,"</formula1>
    </dataValidation>
    <dataValidation type="list" allowBlank="1" showDropDown="0" showInputMessage="1" showErrorMessage="1" sqref="BO6">
      <formula1>"France,Inde,"</formula1>
    </dataValidation>
    <dataValidation type="list" allowBlank="1" showDropDown="0" showInputMessage="1" showErrorMessage="1" sqref="BO7">
      <formula1>"France,Inde,"</formula1>
    </dataValidation>
    <dataValidation type="list" allowBlank="1" showDropDown="0" showInputMessage="1" showErrorMessage="1" sqref="BO8">
      <formula1>"France,Inde,"</formula1>
    </dataValidation>
    <dataValidation type="list" allowBlank="1" showDropDown="0" showInputMessage="1" showErrorMessage="1" sqref="BO9">
      <formula1>"France,Inde,"</formula1>
    </dataValidation>
    <dataValidation type="list" allowBlank="1" showDropDown="0" showInputMessage="1" showErrorMessage="1" sqref="BO10">
      <formula1>"France,Inde,"</formula1>
    </dataValidation>
    <dataValidation type="list" allowBlank="1" showDropDown="0" showInputMessage="1" showErrorMessage="1" sqref="BO11">
      <formula1>"France,Inde,"</formula1>
    </dataValidation>
    <dataValidation type="list" allowBlank="1" showDropDown="0" showInputMessage="1" showErrorMessage="1" sqref="BO12">
      <formula1>"France,Inde,"</formula1>
    </dataValidation>
    <dataValidation type="list" allowBlank="1" showDropDown="0" showInputMessage="1" showErrorMessage="1" sqref="BO13">
      <formula1>"France,Inde,"</formula1>
    </dataValidation>
    <dataValidation type="list" allowBlank="1" showDropDown="0" showInputMessage="1" showErrorMessage="1" sqref="BO14">
      <formula1>"France,Inde,"</formula1>
    </dataValidation>
    <dataValidation type="list" allowBlank="1" showDropDown="0" showInputMessage="1" showErrorMessage="1" sqref="BO15">
      <formula1>"France,Inde,"</formula1>
    </dataValidation>
    <dataValidation type="list" allowBlank="1" showDropDown="0" showInputMessage="1" showErrorMessage="1" sqref="BO16">
      <formula1>"France,Inde,"</formula1>
    </dataValidation>
    <dataValidation type="list" allowBlank="1" showDropDown="0" showInputMessage="1" showErrorMessage="1" sqref="BO17">
      <formula1>"France,Inde,"</formula1>
    </dataValidation>
    <dataValidation type="list" allowBlank="1" showDropDown="0" showInputMessage="1" showErrorMessage="1" sqref="BO18">
      <formula1>"France,Inde,"</formula1>
    </dataValidation>
    <dataValidation type="list" allowBlank="1" showDropDown="0" showInputMessage="1" showErrorMessage="1" sqref="BO19">
      <formula1>"France,Inde,"</formula1>
    </dataValidation>
    <dataValidation type="list" allowBlank="1" showDropDown="0" showInputMessage="1" showErrorMessage="1" sqref="BO20">
      <formula1>"France,Inde,"</formula1>
    </dataValidation>
    <dataValidation type="list" allowBlank="1" showDropDown="0" showInputMessage="1" showErrorMessage="1" sqref="BO21">
      <formula1>"France,Inde,"</formula1>
    </dataValidation>
    <dataValidation type="list" allowBlank="1" showDropDown="0" showInputMessage="1" showErrorMessage="1" sqref="BO22">
      <formula1>"France,Inde,"</formula1>
    </dataValidation>
    <dataValidation type="list" allowBlank="1" showDropDown="0" showInputMessage="1" showErrorMessage="1" sqref="BP3">
      <formula1>"France,Inde,"</formula1>
    </dataValidation>
    <dataValidation type="list" allowBlank="1" showDropDown="0" showInputMessage="1" showErrorMessage="1" sqref="BP4">
      <formula1>"France,Inde,"</formula1>
    </dataValidation>
    <dataValidation type="list" allowBlank="1" showDropDown="0" showInputMessage="1" showErrorMessage="1" sqref="BP5">
      <formula1>"France,Inde,"</formula1>
    </dataValidation>
    <dataValidation type="list" allowBlank="1" showDropDown="0" showInputMessage="1" showErrorMessage="1" sqref="BP6">
      <formula1>"France,Inde,"</formula1>
    </dataValidation>
    <dataValidation type="list" allowBlank="1" showDropDown="0" showInputMessage="1" showErrorMessage="1" sqref="BP7">
      <formula1>"France,Inde,"</formula1>
    </dataValidation>
    <dataValidation type="list" allowBlank="1" showDropDown="0" showInputMessage="1" showErrorMessage="1" sqref="BP8">
      <formula1>"France,Inde,"</formula1>
    </dataValidation>
    <dataValidation type="list" allowBlank="1" showDropDown="0" showInputMessage="1" showErrorMessage="1" sqref="BP9">
      <formula1>"France,Inde,"</formula1>
    </dataValidation>
    <dataValidation type="list" allowBlank="1" showDropDown="0" showInputMessage="1" showErrorMessage="1" sqref="BP10">
      <formula1>"France,Inde,"</formula1>
    </dataValidation>
    <dataValidation type="list" allowBlank="1" showDropDown="0" showInputMessage="1" showErrorMessage="1" sqref="BP11">
      <formula1>"France,Inde,"</formula1>
    </dataValidation>
    <dataValidation type="list" allowBlank="1" showDropDown="0" showInputMessage="1" showErrorMessage="1" sqref="BP12">
      <formula1>"France,Inde,"</formula1>
    </dataValidation>
    <dataValidation type="list" allowBlank="1" showDropDown="0" showInputMessage="1" showErrorMessage="1" sqref="BP13">
      <formula1>"France,Inde,"</formula1>
    </dataValidation>
    <dataValidation type="list" allowBlank="1" showDropDown="0" showInputMessage="1" showErrorMessage="1" sqref="BP14">
      <formula1>"France,Inde,"</formula1>
    </dataValidation>
    <dataValidation type="list" allowBlank="1" showDropDown="0" showInputMessage="1" showErrorMessage="1" sqref="BP15">
      <formula1>"France,Inde,"</formula1>
    </dataValidation>
    <dataValidation type="list" allowBlank="1" showDropDown="0" showInputMessage="1" showErrorMessage="1" sqref="BP16">
      <formula1>"France,Inde,"</formula1>
    </dataValidation>
    <dataValidation type="list" allowBlank="1" showDropDown="0" showInputMessage="1" showErrorMessage="1" sqref="BP17">
      <formula1>"France,Inde,"</formula1>
    </dataValidation>
    <dataValidation type="list" allowBlank="1" showDropDown="0" showInputMessage="1" showErrorMessage="1" sqref="BP18">
      <formula1>"France,Inde,"</formula1>
    </dataValidation>
    <dataValidation type="list" allowBlank="1" showDropDown="0" showInputMessage="1" showErrorMessage="1" sqref="BP19">
      <formula1>"France,Inde,"</formula1>
    </dataValidation>
    <dataValidation type="list" allowBlank="1" showDropDown="0" showInputMessage="1" showErrorMessage="1" sqref="BP20">
      <formula1>"France,Inde,"</formula1>
    </dataValidation>
    <dataValidation type="list" allowBlank="1" showDropDown="0" showInputMessage="1" showErrorMessage="1" sqref="BP21">
      <formula1>"France,Inde,"</formula1>
    </dataValidation>
    <dataValidation type="list" allowBlank="1" showDropDown="0" showInputMessage="1" showErrorMessage="1" sqref="BP22">
      <formula1>"France,Inde,"</formula1>
    </dataValidation>
    <dataValidation type="list" allowBlank="1" showDropDown="0" showInputMessage="1" showErrorMessage="1" sqref="BQ3">
      <formula1>"France,Inde,"</formula1>
    </dataValidation>
    <dataValidation type="list" allowBlank="1" showDropDown="0" showInputMessage="1" showErrorMessage="1" sqref="BQ4">
      <formula1>"France,Inde,"</formula1>
    </dataValidation>
    <dataValidation type="list" allowBlank="1" showDropDown="0" showInputMessage="1" showErrorMessage="1" sqref="BQ5">
      <formula1>"France,Inde,"</formula1>
    </dataValidation>
    <dataValidation type="list" allowBlank="1" showDropDown="0" showInputMessage="1" showErrorMessage="1" sqref="BQ6">
      <formula1>"France,Inde,"</formula1>
    </dataValidation>
    <dataValidation type="list" allowBlank="1" showDropDown="0" showInputMessage="1" showErrorMessage="1" sqref="BQ7">
      <formula1>"France,Inde,"</formula1>
    </dataValidation>
    <dataValidation type="list" allowBlank="1" showDropDown="0" showInputMessage="1" showErrorMessage="1" sqref="BQ8">
      <formula1>"France,Inde,"</formula1>
    </dataValidation>
    <dataValidation type="list" allowBlank="1" showDropDown="0" showInputMessage="1" showErrorMessage="1" sqref="BQ9">
      <formula1>"France,Inde,"</formula1>
    </dataValidation>
    <dataValidation type="list" allowBlank="1" showDropDown="0" showInputMessage="1" showErrorMessage="1" sqref="BQ10">
      <formula1>"France,Inde,"</formula1>
    </dataValidation>
    <dataValidation type="list" allowBlank="1" showDropDown="0" showInputMessage="1" showErrorMessage="1" sqref="BQ11">
      <formula1>"France,Inde,"</formula1>
    </dataValidation>
    <dataValidation type="list" allowBlank="1" showDropDown="0" showInputMessage="1" showErrorMessage="1" sqref="BQ12">
      <formula1>"France,Inde,"</formula1>
    </dataValidation>
    <dataValidation type="list" allowBlank="1" showDropDown="0" showInputMessage="1" showErrorMessage="1" sqref="BQ13">
      <formula1>"France,Inde,"</formula1>
    </dataValidation>
    <dataValidation type="list" allowBlank="1" showDropDown="0" showInputMessage="1" showErrorMessage="1" sqref="BQ14">
      <formula1>"France,Inde,"</formula1>
    </dataValidation>
    <dataValidation type="list" allowBlank="1" showDropDown="0" showInputMessage="1" showErrorMessage="1" sqref="BQ15">
      <formula1>"France,Inde,"</formula1>
    </dataValidation>
    <dataValidation type="list" allowBlank="1" showDropDown="0" showInputMessage="1" showErrorMessage="1" sqref="BQ16">
      <formula1>"France,Inde,"</formula1>
    </dataValidation>
    <dataValidation type="list" allowBlank="1" showDropDown="0" showInputMessage="1" showErrorMessage="1" sqref="BQ17">
      <formula1>"France,Inde,"</formula1>
    </dataValidation>
    <dataValidation type="list" allowBlank="1" showDropDown="0" showInputMessage="1" showErrorMessage="1" sqref="BQ18">
      <formula1>"France,Inde,"</formula1>
    </dataValidation>
    <dataValidation type="list" allowBlank="1" showDropDown="0" showInputMessage="1" showErrorMessage="1" sqref="BQ19">
      <formula1>"France,Inde,"</formula1>
    </dataValidation>
    <dataValidation type="list" allowBlank="1" showDropDown="0" showInputMessage="1" showErrorMessage="1" sqref="BQ20">
      <formula1>"France,Inde,"</formula1>
    </dataValidation>
    <dataValidation type="list" allowBlank="1" showDropDown="0" showInputMessage="1" showErrorMessage="1" sqref="BQ21">
      <formula1>"France,Inde,"</formula1>
    </dataValidation>
    <dataValidation type="list" allowBlank="1" showDropDown="0" showInputMessage="1" showErrorMessage="1" sqref="BQ22">
      <formula1>"France,Inde,"</formula1>
    </dataValidation>
    <dataValidation type="list" allowBlank="1" showDropDown="0" showInputMessage="1" showErrorMessage="1" sqref="BR3">
      <formula1>"France,Inde,"</formula1>
    </dataValidation>
    <dataValidation type="list" allowBlank="1" showDropDown="0" showInputMessage="1" showErrorMessage="1" sqref="BR4">
      <formula1>"France,Inde,"</formula1>
    </dataValidation>
    <dataValidation type="list" allowBlank="1" showDropDown="0" showInputMessage="1" showErrorMessage="1" sqref="BR5">
      <formula1>"France,Inde,"</formula1>
    </dataValidation>
    <dataValidation type="list" allowBlank="1" showDropDown="0" showInputMessage="1" showErrorMessage="1" sqref="BR6">
      <formula1>"France,Inde,"</formula1>
    </dataValidation>
    <dataValidation type="list" allowBlank="1" showDropDown="0" showInputMessage="1" showErrorMessage="1" sqref="BR7">
      <formula1>"France,Inde,"</formula1>
    </dataValidation>
    <dataValidation type="list" allowBlank="1" showDropDown="0" showInputMessage="1" showErrorMessage="1" sqref="BR8">
      <formula1>"France,Inde,"</formula1>
    </dataValidation>
    <dataValidation type="list" allowBlank="1" showDropDown="0" showInputMessage="1" showErrorMessage="1" sqref="BR9">
      <formula1>"France,Inde,"</formula1>
    </dataValidation>
    <dataValidation type="list" allowBlank="1" showDropDown="0" showInputMessage="1" showErrorMessage="1" sqref="BR10">
      <formula1>"France,Inde,"</formula1>
    </dataValidation>
    <dataValidation type="list" allowBlank="1" showDropDown="0" showInputMessage="1" showErrorMessage="1" sqref="BR11">
      <formula1>"France,Inde,"</formula1>
    </dataValidation>
    <dataValidation type="list" allowBlank="1" showDropDown="0" showInputMessage="1" showErrorMessage="1" sqref="BR12">
      <formula1>"France,Inde,"</formula1>
    </dataValidation>
    <dataValidation type="list" allowBlank="1" showDropDown="0" showInputMessage="1" showErrorMessage="1" sqref="BR13">
      <formula1>"France,Inde,"</formula1>
    </dataValidation>
    <dataValidation type="list" allowBlank="1" showDropDown="0" showInputMessage="1" showErrorMessage="1" sqref="BR14">
      <formula1>"France,Inde,"</formula1>
    </dataValidation>
    <dataValidation type="list" allowBlank="1" showDropDown="0" showInputMessage="1" showErrorMessage="1" sqref="BR15">
      <formula1>"France,Inde,"</formula1>
    </dataValidation>
    <dataValidation type="list" allowBlank="1" showDropDown="0" showInputMessage="1" showErrorMessage="1" sqref="BR16">
      <formula1>"France,Inde,"</formula1>
    </dataValidation>
    <dataValidation type="list" allowBlank="1" showDropDown="0" showInputMessage="1" showErrorMessage="1" sqref="BR17">
      <formula1>"France,Inde,"</formula1>
    </dataValidation>
    <dataValidation type="list" allowBlank="1" showDropDown="0" showInputMessage="1" showErrorMessage="1" sqref="BR18">
      <formula1>"France,Inde,"</formula1>
    </dataValidation>
    <dataValidation type="list" allowBlank="1" showDropDown="0" showInputMessage="1" showErrorMessage="1" sqref="BR19">
      <formula1>"France,Inde,"</formula1>
    </dataValidation>
    <dataValidation type="list" allowBlank="1" showDropDown="0" showInputMessage="1" showErrorMessage="1" sqref="BR20">
      <formula1>"France,Inde,"</formula1>
    </dataValidation>
    <dataValidation type="list" allowBlank="1" showDropDown="0" showInputMessage="1" showErrorMessage="1" sqref="BR21">
      <formula1>"France,Inde,"</formula1>
    </dataValidation>
    <dataValidation type="list" allowBlank="1" showDropDown="0" showInputMessage="1" showErrorMessage="1" sqref="BR22">
      <formula1>"France,Inde,"</formula1>
    </dataValidation>
    <dataValidation type="list" allowBlank="1" showDropDown="0" showInputMessage="1" showErrorMessage="1" sqref="BS3">
      <formula1>"France,Inde,"</formula1>
    </dataValidation>
    <dataValidation type="list" allowBlank="1" showDropDown="0" showInputMessage="1" showErrorMessage="1" sqref="BS4">
      <formula1>"France,Inde,"</formula1>
    </dataValidation>
    <dataValidation type="list" allowBlank="1" showDropDown="0" showInputMessage="1" showErrorMessage="1" sqref="BS5">
      <formula1>"France,Inde,"</formula1>
    </dataValidation>
    <dataValidation type="list" allowBlank="1" showDropDown="0" showInputMessage="1" showErrorMessage="1" sqref="BS6">
      <formula1>"France,Inde,"</formula1>
    </dataValidation>
    <dataValidation type="list" allowBlank="1" showDropDown="0" showInputMessage="1" showErrorMessage="1" sqref="BS7">
      <formula1>"France,Inde,"</formula1>
    </dataValidation>
    <dataValidation type="list" allowBlank="1" showDropDown="0" showInputMessage="1" showErrorMessage="1" sqref="BS8">
      <formula1>"France,Inde,"</formula1>
    </dataValidation>
    <dataValidation type="list" allowBlank="1" showDropDown="0" showInputMessage="1" showErrorMessage="1" sqref="BS9">
      <formula1>"France,Inde,"</formula1>
    </dataValidation>
    <dataValidation type="list" allowBlank="1" showDropDown="0" showInputMessage="1" showErrorMessage="1" sqref="BS10">
      <formula1>"France,Inde,"</formula1>
    </dataValidation>
    <dataValidation type="list" allowBlank="1" showDropDown="0" showInputMessage="1" showErrorMessage="1" sqref="BS11">
      <formula1>"France,Inde,"</formula1>
    </dataValidation>
    <dataValidation type="list" allowBlank="1" showDropDown="0" showInputMessage="1" showErrorMessage="1" sqref="BS12">
      <formula1>"France,Inde,"</formula1>
    </dataValidation>
    <dataValidation type="list" allowBlank="1" showDropDown="0" showInputMessage="1" showErrorMessage="1" sqref="BS13">
      <formula1>"France,Inde,"</formula1>
    </dataValidation>
    <dataValidation type="list" allowBlank="1" showDropDown="0" showInputMessage="1" showErrorMessage="1" sqref="BS14">
      <formula1>"France,Inde,"</formula1>
    </dataValidation>
    <dataValidation type="list" allowBlank="1" showDropDown="0" showInputMessage="1" showErrorMessage="1" sqref="BS15">
      <formula1>"France,Inde,"</formula1>
    </dataValidation>
    <dataValidation type="list" allowBlank="1" showDropDown="0" showInputMessage="1" showErrorMessage="1" sqref="BS16">
      <formula1>"France,Inde,"</formula1>
    </dataValidation>
    <dataValidation type="list" allowBlank="1" showDropDown="0" showInputMessage="1" showErrorMessage="1" sqref="BS17">
      <formula1>"France,Inde,"</formula1>
    </dataValidation>
    <dataValidation type="list" allowBlank="1" showDropDown="0" showInputMessage="1" showErrorMessage="1" sqref="BS18">
      <formula1>"France,Inde,"</formula1>
    </dataValidation>
    <dataValidation type="list" allowBlank="1" showDropDown="0" showInputMessage="1" showErrorMessage="1" sqref="BS19">
      <formula1>"France,Inde,"</formula1>
    </dataValidation>
    <dataValidation type="list" allowBlank="1" showDropDown="0" showInputMessage="1" showErrorMessage="1" sqref="BS20">
      <formula1>"France,Inde,"</formula1>
    </dataValidation>
    <dataValidation type="list" allowBlank="1" showDropDown="0" showInputMessage="1" showErrorMessage="1" sqref="BS21">
      <formula1>"France,Inde,"</formula1>
    </dataValidation>
    <dataValidation type="list" allowBlank="1" showDropDown="0" showInputMessage="1" showErrorMessage="1" sqref="BS22">
      <formula1>"France,Inde,"</formula1>
    </dataValidation>
    <dataValidation type="list" allowBlank="1" showDropDown="0" showInputMessage="1" showErrorMessage="1" sqref="BT3">
      <formula1>"France,Inde,"</formula1>
    </dataValidation>
    <dataValidation type="list" allowBlank="1" showDropDown="0" showInputMessage="1" showErrorMessage="1" sqref="BT4">
      <formula1>"France,Inde,"</formula1>
    </dataValidation>
    <dataValidation type="list" allowBlank="1" showDropDown="0" showInputMessage="1" showErrorMessage="1" sqref="BT5">
      <formula1>"France,Inde,"</formula1>
    </dataValidation>
    <dataValidation type="list" allowBlank="1" showDropDown="0" showInputMessage="1" showErrorMessage="1" sqref="BT6">
      <formula1>"France,Inde,"</formula1>
    </dataValidation>
    <dataValidation type="list" allowBlank="1" showDropDown="0" showInputMessage="1" showErrorMessage="1" sqref="BT7">
      <formula1>"France,Inde,"</formula1>
    </dataValidation>
    <dataValidation type="list" allowBlank="1" showDropDown="0" showInputMessage="1" showErrorMessage="1" sqref="BT8">
      <formula1>"France,Inde,"</formula1>
    </dataValidation>
    <dataValidation type="list" allowBlank="1" showDropDown="0" showInputMessage="1" showErrorMessage="1" sqref="BT9">
      <formula1>"France,Inde,"</formula1>
    </dataValidation>
    <dataValidation type="list" allowBlank="1" showDropDown="0" showInputMessage="1" showErrorMessage="1" sqref="BT10">
      <formula1>"France,Inde,"</formula1>
    </dataValidation>
    <dataValidation type="list" allowBlank="1" showDropDown="0" showInputMessage="1" showErrorMessage="1" sqref="BT11">
      <formula1>"France,Inde,"</formula1>
    </dataValidation>
    <dataValidation type="list" allowBlank="1" showDropDown="0" showInputMessage="1" showErrorMessage="1" sqref="BT12">
      <formula1>"France,Inde,"</formula1>
    </dataValidation>
    <dataValidation type="list" allowBlank="1" showDropDown="0" showInputMessage="1" showErrorMessage="1" sqref="BT13">
      <formula1>"France,Inde,"</formula1>
    </dataValidation>
    <dataValidation type="list" allowBlank="1" showDropDown="0" showInputMessage="1" showErrorMessage="1" sqref="BT14">
      <formula1>"France,Inde,"</formula1>
    </dataValidation>
    <dataValidation type="list" allowBlank="1" showDropDown="0" showInputMessage="1" showErrorMessage="1" sqref="BT15">
      <formula1>"France,Inde,"</formula1>
    </dataValidation>
    <dataValidation type="list" allowBlank="1" showDropDown="0" showInputMessage="1" showErrorMessage="1" sqref="BT16">
      <formula1>"France,Inde,"</formula1>
    </dataValidation>
    <dataValidation type="list" allowBlank="1" showDropDown="0" showInputMessage="1" showErrorMessage="1" sqref="BT17">
      <formula1>"France,Inde,"</formula1>
    </dataValidation>
    <dataValidation type="list" allowBlank="1" showDropDown="0" showInputMessage="1" showErrorMessage="1" sqref="BT18">
      <formula1>"France,Inde,"</formula1>
    </dataValidation>
    <dataValidation type="list" allowBlank="1" showDropDown="0" showInputMessage="1" showErrorMessage="1" sqref="BT19">
      <formula1>"France,Inde,"</formula1>
    </dataValidation>
    <dataValidation type="list" allowBlank="1" showDropDown="0" showInputMessage="1" showErrorMessage="1" sqref="BT20">
      <formula1>"France,Inde,"</formula1>
    </dataValidation>
    <dataValidation type="list" allowBlank="1" showDropDown="0" showInputMessage="1" showErrorMessage="1" sqref="BT21">
      <formula1>"France,Inde,"</formula1>
    </dataValidation>
    <dataValidation type="list" allowBlank="1" showDropDown="0" showInputMessage="1" showErrorMessage="1" sqref="BT22">
      <formula1>"France,Inde,"</formula1>
    </dataValidation>
    <dataValidation type="list" allowBlank="1" showDropDown="0" showInputMessage="1" showErrorMessage="1" sqref="C33">
      <formula1>"France,Inde,"</formula1>
    </dataValidation>
    <dataValidation type="list" allowBlank="1" showDropDown="0" showInputMessage="1" showErrorMessage="1" sqref="BU33">
      <formula1>"France,Inde,"</formula1>
    </dataValidation>
    <dataValidation type="list" allowBlank="1" showDropDown="0" showInputMessage="1" showErrorMessage="1" sqref="BV33">
      <formula1>"France,Inde,"</formula1>
    </dataValidation>
    <dataValidation type="list" allowBlank="1" showDropDown="0" showInputMessage="1" showErrorMessage="1" sqref="BW33">
      <formula1>"France,Inde,"</formula1>
    </dataValidation>
    <dataValidation type="list" allowBlank="1" showDropDown="0" showInputMessage="1" showErrorMessage="1" sqref="BX33">
      <formula1>"France,Inde,"</formula1>
    </dataValidation>
    <dataValidation type="list" allowBlank="1" showDropDown="0" showInputMessage="1" showErrorMessage="1" sqref="BY33">
      <formula1>"France,Inde,"</formula1>
    </dataValidation>
    <dataValidation type="list" allowBlank="1" showDropDown="0" showInputMessage="1" showErrorMessage="1" sqref="BZ33">
      <formula1>"France,Inde,"</formula1>
    </dataValidation>
    <dataValidation type="list" allowBlank="1" showDropDown="0" showInputMessage="1" showErrorMessage="1" sqref="CA33">
      <formula1>"France,Inde,"</formula1>
    </dataValidation>
    <dataValidation type="list" allowBlank="1" showDropDown="0" showInputMessage="1" showErrorMessage="1" sqref="CB33">
      <formula1>"France,Inde,"</formula1>
    </dataValidation>
    <dataValidation type="list" allowBlank="1" showDropDown="0" showInputMessage="1" showErrorMessage="1" sqref="CC33">
      <formula1>"France,Inde,"</formula1>
    </dataValidation>
    <dataValidation type="list" allowBlank="1" showDropDown="0" showInputMessage="1" showErrorMessage="1" sqref="CD33">
      <formula1>"France,Inde,"</formula1>
    </dataValidation>
    <dataValidation type="list" allowBlank="1" showDropDown="0" showInputMessage="1" showErrorMessage="1" sqref="CE33">
      <formula1>"France,Inde,"</formula1>
    </dataValidation>
    <dataValidation type="list" allowBlank="1" showDropDown="0" showInputMessage="1" showErrorMessage="1" sqref="CF33">
      <formula1>"France,Inde,"</formula1>
    </dataValidation>
    <dataValidation type="list" allowBlank="1" showDropDown="0" showInputMessage="1" showErrorMessage="1" sqref="CG33">
      <formula1>"France,Inde,"</formula1>
    </dataValidation>
    <dataValidation type="list" allowBlank="1" showDropDown="0" showInputMessage="1" showErrorMessage="1" sqref="CH33">
      <formula1>"France,Inde,"</formula1>
    </dataValidation>
    <dataValidation type="list" allowBlank="1" showDropDown="0" showInputMessage="1" showErrorMessage="1" sqref="CI33">
      <formula1>"France,Inde,"</formula1>
    </dataValidation>
    <dataValidation type="list" allowBlank="1" showDropDown="0" showInputMessage="1" showErrorMessage="1" sqref="CJ33">
      <formula1>"France,Inde,"</formula1>
    </dataValidation>
    <dataValidation type="list" allowBlank="1" showDropDown="0" showInputMessage="1" showErrorMessage="1" sqref="CK33">
      <formula1>"France,Inde,"</formula1>
    </dataValidation>
    <dataValidation type="list" allowBlank="1" showDropDown="0" showInputMessage="1" showErrorMessage="1" sqref="CL33">
      <formula1>"France,Inde,"</formula1>
    </dataValidation>
    <dataValidation type="list" allowBlank="1" showDropDown="0" showInputMessage="1" showErrorMessage="1" sqref="CM33">
      <formula1>"France,Inde,"</formula1>
    </dataValidation>
    <dataValidation type="list" allowBlank="1" showDropDown="0" showInputMessage="1" showErrorMessage="1" sqref="CN33">
      <formula1>"France,Inde,"</formula1>
    </dataValidation>
    <dataValidation type="list" allowBlank="1" showDropDown="0" showInputMessage="1" showErrorMessage="1" sqref="CO33">
      <formula1>"France,Inde,"</formula1>
    </dataValidation>
    <dataValidation type="list" allowBlank="1" showDropDown="0" showInputMessage="1" showErrorMessage="1" sqref="CP33">
      <formula1>"France,Inde,"</formula1>
    </dataValidation>
    <dataValidation type="list" allowBlank="1" showDropDown="0" showInputMessage="1" showErrorMessage="1" sqref="CQ33">
      <formula1>"France,Inde,"</formula1>
    </dataValidation>
    <dataValidation type="list" allowBlank="1" showDropDown="0" showInputMessage="1" showErrorMessage="1" sqref="CR33">
      <formula1>"France,Inde,"</formula1>
    </dataValidation>
    <dataValidation type="list" allowBlank="1" showDropDown="0" showInputMessage="1" showErrorMessage="1" sqref="CS33">
      <formula1>"France,Inde,"</formula1>
    </dataValidation>
    <dataValidation type="list" allowBlank="1" showDropDown="0" showInputMessage="1" showErrorMessage="1" sqref="CT33">
      <formula1>"France,Inde,"</formula1>
    </dataValidation>
    <dataValidation type="list" allowBlank="1" showDropDown="0" showInputMessage="1" showErrorMessage="1" sqref="CU33">
      <formula1>"France,Inde,"</formula1>
    </dataValidation>
    <dataValidation type="list" allowBlank="1" showDropDown="0" showInputMessage="1" showErrorMessage="1" sqref="CV33">
      <formula1>"France,Inde,"</formula1>
    </dataValidation>
    <dataValidation type="list" allowBlank="1" showDropDown="0" showInputMessage="1" showErrorMessage="1" sqref="CW33">
      <formula1>"France,Inde,"</formula1>
    </dataValidation>
    <dataValidation type="list" allowBlank="1" showDropDown="0" showInputMessage="1" showErrorMessage="1" sqref="CX33">
      <formula1>"France,Inde,"</formula1>
    </dataValidation>
    <dataValidation type="list" allowBlank="1" showDropDown="0" showInputMessage="1" showErrorMessage="1" sqref="CY33">
      <formula1>"France,Inde,"</formula1>
    </dataValidation>
    <dataValidation type="list" allowBlank="1" showDropDown="0" showInputMessage="1" showErrorMessage="1" sqref="CZ33">
      <formula1>"France,Inde,"</formula1>
    </dataValidation>
    <dataValidation type="list" allowBlank="1" showDropDown="0" showInputMessage="1" showErrorMessage="1" sqref="DA33">
      <formula1>"France,Inde,"</formula1>
    </dataValidation>
    <dataValidation type="list" allowBlank="1" showDropDown="0" showInputMessage="1" showErrorMessage="1" sqref="DB33">
      <formula1>"France,Inde,"</formula1>
    </dataValidation>
    <dataValidation type="list" allowBlank="1" showDropDown="0" showInputMessage="1" showErrorMessage="1" sqref="DC33">
      <formula1>"France,Inde,"</formula1>
    </dataValidation>
    <dataValidation type="list" allowBlank="1" showDropDown="0" showInputMessage="1" showErrorMessage="1" sqref="DD33">
      <formula1>"France,Inde,"</formula1>
    </dataValidation>
    <dataValidation type="list" allowBlank="1" showDropDown="0" showInputMessage="1" showErrorMessage="1" sqref="DE33">
      <formula1>"France,Inde,"</formula1>
    </dataValidation>
    <dataValidation type="list" allowBlank="1" showDropDown="0" showInputMessage="1" showErrorMessage="1" sqref="DF33">
      <formula1>"France,Inde,"</formula1>
    </dataValidation>
    <dataValidation type="list" allowBlank="1" showDropDown="0" showInputMessage="1" showErrorMessage="1" sqref="DG33">
      <formula1>"France,Inde,"</formula1>
    </dataValidation>
    <dataValidation type="list" allowBlank="1" showDropDown="0" showInputMessage="1" showErrorMessage="1" sqref="DH33">
      <formula1>"France,Inde,"</formula1>
    </dataValidation>
    <dataValidation type="list" allowBlank="1" showDropDown="0" showInputMessage="1" showErrorMessage="1" sqref="DI33">
      <formula1>"France,Inde,"</formula1>
    </dataValidation>
    <dataValidation type="list" allowBlank="1" showDropDown="0" showInputMessage="1" showErrorMessage="1" sqref="DJ33">
      <formula1>"France,Inde,"</formula1>
    </dataValidation>
    <dataValidation type="list" allowBlank="1" showDropDown="0" showInputMessage="1" showErrorMessage="1" sqref="DK33">
      <formula1>"France,Inde,"</formula1>
    </dataValidation>
    <dataValidation type="list" allowBlank="1" showDropDown="0" showInputMessage="1" showErrorMessage="1" sqref="DL33">
      <formula1>"France,Inde,"</formula1>
    </dataValidation>
    <dataValidation type="list" allowBlank="1" showDropDown="0" showInputMessage="1" showErrorMessage="1" sqref="DM33">
      <formula1>"France,Inde,"</formula1>
    </dataValidation>
    <dataValidation type="list" allowBlank="1" showDropDown="0" showInputMessage="1" showErrorMessage="1" sqref="DN33">
      <formula1>"France,Inde,"</formula1>
    </dataValidation>
    <dataValidation type="list" allowBlank="1" showDropDown="0" showInputMessage="1" showErrorMessage="1" sqref="DO33">
      <formula1>"France,Inde,"</formula1>
    </dataValidation>
    <dataValidation type="list" allowBlank="1" showDropDown="0" showInputMessage="1" showErrorMessage="1" sqref="DP33">
      <formula1>"France,Inde,"</formula1>
    </dataValidation>
    <dataValidation type="list" allowBlank="1" showDropDown="0" showInputMessage="1" showErrorMessage="1" sqref="DQ33">
      <formula1>"France,Inde,"</formula1>
    </dataValidation>
    <dataValidation type="list" allowBlank="1" showDropDown="0" showInputMessage="1" showErrorMessage="1" sqref="DR33">
      <formula1>"France,Inde,"</formula1>
    </dataValidation>
    <dataValidation type="list" allowBlank="1" showDropDown="0" showInputMessage="1" showErrorMessage="1" sqref="DS33">
      <formula1>"France,Inde,"</formula1>
    </dataValidation>
    <dataValidation type="list" allowBlank="1" showDropDown="0" showInputMessage="1" showErrorMessage="1" sqref="DT33">
      <formula1>"France,Inde,"</formula1>
    </dataValidation>
    <dataValidation type="list" allowBlank="1" showDropDown="0" showInputMessage="1" showErrorMessage="1" sqref="DU33">
      <formula1>"France,Inde,"</formula1>
    </dataValidation>
    <dataValidation type="list" allowBlank="1" showDropDown="0" showInputMessage="1" showErrorMessage="1" sqref="DV33">
      <formula1>"France,Inde,"</formula1>
    </dataValidation>
    <dataValidation type="list" allowBlank="1" showDropDown="0" showInputMessage="1" showErrorMessage="1" sqref="DW33">
      <formula1>"France,Inde,"</formula1>
    </dataValidation>
    <dataValidation type="list" allowBlank="1" showDropDown="0" showInputMessage="1" showErrorMessage="1" sqref="DX33">
      <formula1>"France,Inde,"</formula1>
    </dataValidation>
    <dataValidation type="list" allowBlank="1" showDropDown="0" showInputMessage="1" showErrorMessage="1" sqref="DY33">
      <formula1>"France,Inde,"</formula1>
    </dataValidation>
    <dataValidation type="list" allowBlank="1" showDropDown="0" showInputMessage="1" showErrorMessage="1" sqref="DZ33">
      <formula1>"France,Inde,"</formula1>
    </dataValidation>
    <dataValidation type="list" allowBlank="1" showDropDown="0" showInputMessage="1" showErrorMessage="1" sqref="EA33">
      <formula1>"France,Inde,"</formula1>
    </dataValidation>
    <dataValidation type="list" allowBlank="1" showDropDown="0" showInputMessage="1" showErrorMessage="1" sqref="EB33">
      <formula1>"France,Inde,"</formula1>
    </dataValidation>
    <dataValidation type="list" allowBlank="1" showDropDown="0" showInputMessage="1" showErrorMessage="1" sqref="EC33">
      <formula1>"France,Inde,"</formula1>
    </dataValidation>
    <dataValidation type="list" allowBlank="1" showDropDown="0" showInputMessage="1" showErrorMessage="1" sqref="ED33">
      <formula1>"France,Inde,"</formula1>
    </dataValidation>
    <dataValidation type="list" allowBlank="1" showDropDown="0" showInputMessage="1" showErrorMessage="1" sqref="EE33">
      <formula1>"France,Inde,"</formula1>
    </dataValidation>
    <dataValidation type="list" allowBlank="1" showDropDown="0" showInputMessage="1" showErrorMessage="1" sqref="EF33">
      <formula1>"France,Inde,"</formula1>
    </dataValidation>
    <dataValidation type="list" allowBlank="1" showDropDown="0" showInputMessage="1" showErrorMessage="1" sqref="EG33">
      <formula1>"France,Inde,"</formula1>
    </dataValidation>
    <dataValidation type="list" allowBlank="1" showDropDown="0" showInputMessage="1" showErrorMessage="1" sqref="EH33">
      <formula1>"France,Inde,"</formula1>
    </dataValidation>
    <dataValidation type="list" allowBlank="1" showDropDown="0" showInputMessage="1" showErrorMessage="1" sqref="EI33">
      <formula1>"France,Inde,"</formula1>
    </dataValidation>
    <dataValidation type="list" allowBlank="1" showDropDown="0" showInputMessage="1" showErrorMessage="1" sqref="EJ33">
      <formula1>"France,Inde,"</formula1>
    </dataValidation>
    <dataValidation type="list" allowBlank="1" showDropDown="0" showInputMessage="1" showErrorMessage="1" sqref="EK33">
      <formula1>"France,Inde,"</formula1>
    </dataValidation>
    <dataValidation type="list" allowBlank="1" showDropDown="0" showInputMessage="1" showErrorMessage="1" sqref="EL33">
      <formula1>"France,Inde,"</formula1>
    </dataValidation>
    <dataValidation type="list" allowBlank="1" showDropDown="0" showInputMessage="1" showErrorMessage="1" sqref="EM33">
      <formula1>"France,Inde,"</formula1>
    </dataValidation>
    <dataValidation type="list" allowBlank="1" showDropDown="0" showInputMessage="1" showErrorMessage="1" sqref="EN33">
      <formula1>"France,Inde,"</formula1>
    </dataValidation>
    <dataValidation type="list" allowBlank="1" showDropDown="0" showInputMessage="1" showErrorMessage="1" sqref="EO33">
      <formula1>"France,Inde,"</formula1>
    </dataValidation>
    <dataValidation type="list" allowBlank="1" showDropDown="0" showInputMessage="1" showErrorMessage="1" sqref="EP33">
      <formula1>"France,Inde,"</formula1>
    </dataValidation>
    <dataValidation type="list" allowBlank="1" showDropDown="0" showInputMessage="1" showErrorMessage="1" sqref="EQ33">
      <formula1>"France,Inde,"</formula1>
    </dataValidation>
    <dataValidation type="list" allowBlank="1" showDropDown="0" showInputMessage="1" showErrorMessage="1" sqref="ER33">
      <formula1>"France,Inde,"</formula1>
    </dataValidation>
    <dataValidation type="list" allowBlank="1" showDropDown="0" showInputMessage="1" showErrorMessage="1" sqref="ES33">
      <formula1>"France,Inde,"</formula1>
    </dataValidation>
    <dataValidation type="list" allowBlank="1" showDropDown="0" showInputMessage="1" showErrorMessage="1" sqref="ET33">
      <formula1>"France,Inde,"</formula1>
    </dataValidation>
    <dataValidation type="list" allowBlank="1" showDropDown="0" showInputMessage="1" showErrorMessage="1" sqref="EU33">
      <formula1>"France,Inde,"</formula1>
    </dataValidation>
    <dataValidation type="list" allowBlank="1" showDropDown="0" showInputMessage="1" showErrorMessage="1" sqref="EV33">
      <formula1>"France,Inde,"</formula1>
    </dataValidation>
    <dataValidation type="list" allowBlank="1" showDropDown="0" showInputMessage="1" showErrorMessage="1" sqref="EW33">
      <formula1>"France,Inde,"</formula1>
    </dataValidation>
    <dataValidation type="list" allowBlank="1" showDropDown="0" showInputMessage="1" showErrorMessage="1" sqref="EX33">
      <formula1>"France,Inde,"</formula1>
    </dataValidation>
    <dataValidation type="list" allowBlank="1" showDropDown="0" showInputMessage="1" showErrorMessage="1" sqref="EY33">
      <formula1>"France,Inde,"</formula1>
    </dataValidation>
    <dataValidation type="list" allowBlank="1" showDropDown="0" showInputMessage="1" showErrorMessage="1" sqref="EZ33">
      <formula1>"France,Inde,"</formula1>
    </dataValidation>
    <dataValidation type="list" allowBlank="1" showDropDown="0" showInputMessage="1" showErrorMessage="1" sqref="FA33">
      <formula1>"France,Inde,"</formula1>
    </dataValidation>
    <dataValidation type="list" allowBlank="1" showDropDown="0" showInputMessage="1" showErrorMessage="1" sqref="FB33">
      <formula1>"France,Inde,"</formula1>
    </dataValidation>
    <dataValidation type="list" allowBlank="1" showDropDown="0" showInputMessage="1" showErrorMessage="1" sqref="FC33">
      <formula1>"France,Inde,"</formula1>
    </dataValidation>
    <dataValidation type="list" allowBlank="1" showDropDown="0" showInputMessage="1" showErrorMessage="1" sqref="FD33">
      <formula1>"France,Inde,"</formula1>
    </dataValidation>
    <dataValidation type="list" allowBlank="1" showDropDown="0" showInputMessage="1" showErrorMessage="1" sqref="FE33">
      <formula1>"France,Inde,"</formula1>
    </dataValidation>
    <dataValidation type="list" allowBlank="1" showDropDown="0" showInputMessage="1" showErrorMessage="1" sqref="FF33">
      <formula1>"France,Inde,"</formula1>
    </dataValidation>
    <dataValidation type="list" allowBlank="1" showDropDown="0" showInputMessage="1" showErrorMessage="1" sqref="FG33">
      <formula1>"France,Inde,"</formula1>
    </dataValidation>
    <dataValidation type="list" allowBlank="1" showDropDown="0" showInputMessage="1" showErrorMessage="1" sqref="FH33">
      <formula1>"France,Inde,"</formula1>
    </dataValidation>
    <dataValidation type="list" allowBlank="1" showDropDown="0" showInputMessage="1" showErrorMessage="1" sqref="FI33">
      <formula1>"France,Inde,"</formula1>
    </dataValidation>
    <dataValidation type="list" allowBlank="1" showDropDown="0" showInputMessage="1" showErrorMessage="1" sqref="FJ33">
      <formula1>"France,Inde,"</formula1>
    </dataValidation>
    <dataValidation type="list" allowBlank="1" showDropDown="0" showInputMessage="1" showErrorMessage="1" sqref="FK33">
      <formula1>"France,Inde,"</formula1>
    </dataValidation>
    <dataValidation type="list" allowBlank="1" showDropDown="0" showInputMessage="1" showErrorMessage="1" sqref="FL33">
      <formula1>"France,Inde,"</formula1>
    </dataValidation>
    <dataValidation type="list" allowBlank="1" showDropDown="0" showInputMessage="1" showErrorMessage="1" sqref="FM33">
      <formula1>"France,Inde,"</formula1>
    </dataValidation>
    <dataValidation type="list" allowBlank="1" showDropDown="0" showInputMessage="1" showErrorMessage="1" sqref="FN33">
      <formula1>"France,Inde,"</formula1>
    </dataValidation>
    <dataValidation type="list" allowBlank="1" showDropDown="0" showInputMessage="1" showErrorMessage="1" sqref="FO33">
      <formula1>"France,Inde,"</formula1>
    </dataValidation>
    <dataValidation type="list" allowBlank="1" showDropDown="0" showInputMessage="1" showErrorMessage="1" sqref="FP33">
      <formula1>"France,Inde,"</formula1>
    </dataValidation>
    <dataValidation type="list" allowBlank="1" showDropDown="0" showInputMessage="1" showErrorMessage="1" sqref="FQ33">
      <formula1>"France,Inde,"</formula1>
    </dataValidation>
    <dataValidation type="list" allowBlank="1" showDropDown="0" showInputMessage="1" showErrorMessage="1" sqref="FR33">
      <formula1>"France,Inde,"</formula1>
    </dataValidation>
    <dataValidation type="list" allowBlank="1" showDropDown="0" showInputMessage="1" showErrorMessage="1" sqref="FS33">
      <formula1>"France,Inde,"</formula1>
    </dataValidation>
    <dataValidation type="list" allowBlank="1" showDropDown="0" showInputMessage="1" showErrorMessage="1" sqref="FT33">
      <formula1>"France,Inde,"</formula1>
    </dataValidation>
    <dataValidation type="list" allowBlank="1" showDropDown="0" showInputMessage="1" showErrorMessage="1" sqref="FU33">
      <formula1>"France,Inde,"</formula1>
    </dataValidation>
    <dataValidation type="list" allowBlank="1" showDropDown="0" showInputMessage="1" showErrorMessage="1" sqref="FV33">
      <formula1>"France,Inde,"</formula1>
    </dataValidation>
    <dataValidation type="list" allowBlank="1" showDropDown="0" showInputMessage="1" showErrorMessage="1" sqref="FW33">
      <formula1>"France,Inde,"</formula1>
    </dataValidation>
    <dataValidation type="list" allowBlank="1" showDropDown="0" showInputMessage="1" showErrorMessage="1" sqref="FX33">
      <formula1>"France,Inde,"</formula1>
    </dataValidation>
    <dataValidation type="list" allowBlank="1" showDropDown="0" showInputMessage="1" showErrorMessage="1" sqref="FY33">
      <formula1>"France,Inde,"</formula1>
    </dataValidation>
    <dataValidation type="list" allowBlank="1" showDropDown="0" showInputMessage="1" showErrorMessage="1" sqref="FZ33">
      <formula1>"France,Inde,"</formula1>
    </dataValidation>
    <dataValidation type="list" allowBlank="1" showDropDown="0" showInputMessage="1" showErrorMessage="1" sqref="GA33">
      <formula1>"France,Inde,"</formula1>
    </dataValidation>
    <dataValidation type="list" allowBlank="1" showDropDown="0" showInputMessage="1" showErrorMessage="1" sqref="GB33">
      <formula1>"France,Inde,"</formula1>
    </dataValidation>
    <dataValidation type="list" allowBlank="1" showDropDown="0" showInputMessage="1" showErrorMessage="1" sqref="GC33">
      <formula1>"France,Inde,"</formula1>
    </dataValidation>
    <dataValidation type="list" allowBlank="1" showDropDown="0" showInputMessage="1" showErrorMessage="1" sqref="GD33">
      <formula1>"France,Inde,"</formula1>
    </dataValidation>
    <dataValidation type="list" allowBlank="1" showDropDown="0" showInputMessage="1" showErrorMessage="1" sqref="GE33">
      <formula1>"France,Inde,"</formula1>
    </dataValidation>
    <dataValidation type="list" allowBlank="1" showDropDown="0" showInputMessage="1" showErrorMessage="1" sqref="GF33">
      <formula1>"France,Inde,"</formula1>
    </dataValidation>
    <dataValidation type="list" allowBlank="1" showDropDown="0" showInputMessage="1" showErrorMessage="1" sqref="GG33">
      <formula1>"France,Inde,"</formula1>
    </dataValidation>
    <dataValidation type="list" allowBlank="1" showDropDown="0" showInputMessage="1" showErrorMessage="1" sqref="GH33">
      <formula1>"France,Inde,"</formula1>
    </dataValidation>
    <dataValidation type="list" allowBlank="1" showDropDown="0" showInputMessage="1" showErrorMessage="1" sqref="GI33">
      <formula1>"France,Inde,"</formula1>
    </dataValidation>
    <dataValidation type="list" allowBlank="1" showDropDown="0" showInputMessage="1" showErrorMessage="1" sqref="GJ33">
      <formula1>"France,Inde,"</formula1>
    </dataValidation>
    <dataValidation type="list" allowBlank="1" showDropDown="0" showInputMessage="1" showErrorMessage="1" sqref="GK33">
      <formula1>"France,Inde,"</formula1>
    </dataValidation>
    <dataValidation type="list" allowBlank="1" showDropDown="0" showInputMessage="1" showErrorMessage="1" sqref="GL33">
      <formula1>"France,Inde,"</formula1>
    </dataValidation>
    <dataValidation type="list" allowBlank="1" showDropDown="0" showInputMessage="1" showErrorMessage="1" sqref="GM33">
      <formula1>"France,Inde,"</formula1>
    </dataValidation>
    <dataValidation type="list" allowBlank="1" showDropDown="0" showInputMessage="1" showErrorMessage="1" sqref="GN33">
      <formula1>"France,Inde,"</formula1>
    </dataValidation>
    <dataValidation type="list" allowBlank="1" showDropDown="0" showInputMessage="1" showErrorMessage="1" sqref="GO33">
      <formula1>"France,Inde,"</formula1>
    </dataValidation>
    <dataValidation type="list" allowBlank="1" showDropDown="0" showInputMessage="1" showErrorMessage="1" sqref="GP33">
      <formula1>"France,Inde,"</formula1>
    </dataValidation>
    <dataValidation type="list" allowBlank="1" showDropDown="0" showInputMessage="1" showErrorMessage="1" sqref="GQ33">
      <formula1>"France,Inde,"</formula1>
    </dataValidation>
    <dataValidation type="list" allowBlank="1" showDropDown="0" showInputMessage="1" showErrorMessage="1" sqref="GR33">
      <formula1>"France,Inde,"</formula1>
    </dataValidation>
    <dataValidation type="list" allowBlank="1" showDropDown="0" showInputMessage="1" showErrorMessage="1" sqref="GS33">
      <formula1>"France,Inde,"</formula1>
    </dataValidation>
    <dataValidation type="list" allowBlank="1" showDropDown="0" showInputMessage="1" showErrorMessage="1" sqref="GT33">
      <formula1>"France,Inde,"</formula1>
    </dataValidation>
    <dataValidation type="list" allowBlank="1" showDropDown="0" showInputMessage="1" showErrorMessage="1" sqref="GU33">
      <formula1>"France,Inde,"</formula1>
    </dataValidation>
    <dataValidation type="list" allowBlank="1" showDropDown="0" showInputMessage="1" showErrorMessage="1" sqref="GV33">
      <formula1>"France,Inde,"</formula1>
    </dataValidation>
    <dataValidation type="list" allowBlank="1" showDropDown="0" showInputMessage="1" showErrorMessage="1" sqref="GW33">
      <formula1>"France,Inde,"</formula1>
    </dataValidation>
    <dataValidation type="list" allowBlank="1" showDropDown="0" showInputMessage="1" showErrorMessage="1" sqref="GX33">
      <formula1>"France,Inde,"</formula1>
    </dataValidation>
    <dataValidation type="list" allowBlank="1" showDropDown="0" showInputMessage="1" showErrorMessage="1" sqref="GY33">
      <formula1>"France,Inde,"</formula1>
    </dataValidation>
    <dataValidation type="list" allowBlank="1" showDropDown="0" showInputMessage="1" showErrorMessage="1" sqref="GZ33">
      <formula1>"France,Inde,"</formula1>
    </dataValidation>
    <dataValidation type="list" allowBlank="1" showDropDown="0" showInputMessage="1" showErrorMessage="1" sqref="HA33">
      <formula1>"France,Inde,"</formula1>
    </dataValidation>
    <dataValidation type="list" allowBlank="1" showDropDown="0" showInputMessage="1" showErrorMessage="1" sqref="HB33">
      <formula1>"France,Inde,"</formula1>
    </dataValidation>
    <dataValidation type="list" allowBlank="1" showDropDown="0" showInputMessage="1" showErrorMessage="1" sqref="HC33">
      <formula1>"France,Inde,"</formula1>
    </dataValidation>
    <dataValidation type="list" allowBlank="1" showDropDown="0" showInputMessage="1" showErrorMessage="1" sqref="HD33">
      <formula1>"France,Inde,"</formula1>
    </dataValidation>
    <dataValidation type="list" allowBlank="1" showDropDown="0" showInputMessage="1" showErrorMessage="1" sqref="HE33">
      <formula1>"France,Inde,"</formula1>
    </dataValidation>
    <dataValidation type="list" allowBlank="1" showDropDown="0" showInputMessage="1" showErrorMessage="1" sqref="HF33">
      <formula1>"France,Inde,"</formula1>
    </dataValidation>
    <dataValidation type="list" allowBlank="1" showDropDown="0" showInputMessage="1" showErrorMessage="1" sqref="HG33">
      <formula1>"France,Inde,"</formula1>
    </dataValidation>
    <dataValidation type="list" allowBlank="1" showDropDown="0" showInputMessage="1" showErrorMessage="1" sqref="HH33">
      <formula1>"France,Inde,"</formula1>
    </dataValidation>
    <dataValidation type="list" allowBlank="1" showDropDown="0" showInputMessage="1" showErrorMessage="1" sqref="HI33">
      <formula1>"France,Inde,"</formula1>
    </dataValidation>
    <dataValidation type="list" allowBlank="1" showDropDown="0" showInputMessage="1" showErrorMessage="1" sqref="HJ33">
      <formula1>"France,Inde,"</formula1>
    </dataValidation>
    <dataValidation type="list" allowBlank="1" showDropDown="0" showInputMessage="1" showErrorMessage="1" sqref="HK33">
      <formula1>"France,Inde,"</formula1>
    </dataValidation>
    <dataValidation type="list" allowBlank="1" showDropDown="0" showInputMessage="1" showErrorMessage="1" sqref="HL33">
      <formula1>"France,Inde,"</formula1>
    </dataValidation>
    <dataValidation type="list" allowBlank="1" showDropDown="0" showInputMessage="1" showErrorMessage="1" sqref="HM33">
      <formula1>"France,Inde,"</formula1>
    </dataValidation>
    <dataValidation type="list" allowBlank="1" showDropDown="0" showInputMessage="1" showErrorMessage="1" sqref="HN33">
      <formula1>"France,Inde,"</formula1>
    </dataValidation>
    <dataValidation type="list" allowBlank="1" showDropDown="0" showInputMessage="1" showErrorMessage="1" sqref="HO33">
      <formula1>"France,Inde,"</formula1>
    </dataValidation>
    <dataValidation type="list" allowBlank="1" showDropDown="0" showInputMessage="1" showErrorMessage="1" sqref="HP33">
      <formula1>"France,Inde,"</formula1>
    </dataValidation>
    <dataValidation type="list" allowBlank="1" showDropDown="0" showInputMessage="1" showErrorMessage="1" sqref="HQ33">
      <formula1>"France,Inde,"</formula1>
    </dataValidation>
    <dataValidation type="list" allowBlank="1" showDropDown="0" showInputMessage="1" showErrorMessage="1" sqref="HR33">
      <formula1>"France,Inde,"</formula1>
    </dataValidation>
    <dataValidation type="list" allowBlank="1" showDropDown="0" showInputMessage="1" showErrorMessage="1" sqref="HS33">
      <formula1>"France,Inde,"</formula1>
    </dataValidation>
    <dataValidation type="list" allowBlank="1" showDropDown="0" showInputMessage="1" showErrorMessage="1" sqref="HT33">
      <formula1>"France,Inde,"</formula1>
    </dataValidation>
    <dataValidation type="list" allowBlank="1" showDropDown="0" showInputMessage="1" showErrorMessage="1" sqref="HU33">
      <formula1>"France,Inde,"</formula1>
    </dataValidation>
    <dataValidation type="list" allowBlank="1" showDropDown="0" showInputMessage="1" showErrorMessage="1" sqref="HV33">
      <formula1>"France,Inde,"</formula1>
    </dataValidation>
    <dataValidation type="list" allowBlank="1" showDropDown="0" showInputMessage="1" showErrorMessage="1" sqref="HW33">
      <formula1>"France,Inde,"</formula1>
    </dataValidation>
    <dataValidation type="list" allowBlank="1" showDropDown="0" showInputMessage="1" showErrorMessage="1" sqref="HX33">
      <formula1>"France,Inde,"</formula1>
    </dataValidation>
    <dataValidation type="list" allowBlank="1" showDropDown="0" showInputMessage="1" showErrorMessage="1" sqref="HY33">
      <formula1>"France,Inde,"</formula1>
    </dataValidation>
    <dataValidation type="list" allowBlank="1" showDropDown="0" showInputMessage="1" showErrorMessage="1" sqref="HZ33">
      <formula1>"France,Inde,"</formula1>
    </dataValidation>
    <dataValidation type="list" allowBlank="1" showDropDown="0" showInputMessage="1" showErrorMessage="1" sqref="IA33">
      <formula1>"France,Inde,"</formula1>
    </dataValidation>
    <dataValidation type="list" allowBlank="1" showDropDown="0" showInputMessage="1" showErrorMessage="1" sqref="IB33">
      <formula1>"France,Inde,"</formula1>
    </dataValidation>
    <dataValidation type="list" allowBlank="1" showDropDown="0" showInputMessage="1" showErrorMessage="1" sqref="IC33">
      <formula1>"France,Inde,"</formula1>
    </dataValidation>
    <dataValidation type="list" allowBlank="1" showDropDown="0" showInputMessage="1" showErrorMessage="1" sqref="ID33">
      <formula1>"France,Inde,"</formula1>
    </dataValidation>
    <dataValidation type="list" allowBlank="1" showDropDown="0" showInputMessage="1" showErrorMessage="1" sqref="IE33">
      <formula1>"France,Inde,"</formula1>
    </dataValidation>
    <dataValidation type="list" allowBlank="1" showDropDown="0" showInputMessage="1" showErrorMessage="1" sqref="IF33">
      <formula1>"France,Inde,"</formula1>
    </dataValidation>
    <dataValidation type="list" allowBlank="1" showDropDown="0" showInputMessage="1" showErrorMessage="1" sqref="IG33">
      <formula1>"France,Inde,"</formula1>
    </dataValidation>
    <dataValidation type="list" allowBlank="1" showDropDown="0" showInputMessage="1" showErrorMessage="1" sqref="IH33">
      <formula1>"France,Inde,"</formula1>
    </dataValidation>
    <dataValidation type="list" allowBlank="1" showDropDown="0" showInputMessage="1" showErrorMessage="1" sqref="II33">
      <formula1>"France,Inde,"</formula1>
    </dataValidation>
    <dataValidation type="list" allowBlank="1" showDropDown="0" showInputMessage="1" showErrorMessage="1" sqref="IJ33">
      <formula1>"France,Inde,"</formula1>
    </dataValidation>
    <dataValidation type="list" allowBlank="1" showDropDown="0" showInputMessage="1" showErrorMessage="1" sqref="IK33">
      <formula1>"France,Inde,"</formula1>
    </dataValidation>
    <dataValidation type="list" allowBlank="1" showDropDown="0" showInputMessage="1" showErrorMessage="1" sqref="IL33">
      <formula1>"France,Inde,"</formula1>
    </dataValidation>
    <dataValidation type="list" allowBlank="1" showDropDown="0" showInputMessage="1" showErrorMessage="1" sqref="IM33">
      <formula1>"France,Inde,"</formula1>
    </dataValidation>
    <dataValidation type="list" allowBlank="1" showDropDown="0" showInputMessage="1" showErrorMessage="1" sqref="IN33">
      <formula1>"France,Inde,"</formula1>
    </dataValidation>
    <dataValidation type="list" allowBlank="1" showDropDown="0" showInputMessage="1" showErrorMessage="1" sqref="IO33">
      <formula1>"France,Inde,"</formula1>
    </dataValidation>
    <dataValidation type="list" allowBlank="1" showDropDown="0" showInputMessage="1" showErrorMessage="1" sqref="IP33">
      <formula1>"France,Inde,"</formula1>
    </dataValidation>
    <dataValidation type="list" allowBlank="1" showDropDown="0" showInputMessage="1" showErrorMessage="1" sqref="IQ33">
      <formula1>"France,Inde,"</formula1>
    </dataValidation>
    <dataValidation type="list" allowBlank="1" showDropDown="0" showInputMessage="1" showErrorMessage="1" sqref="IR33">
      <formula1>"France,Inde,"</formula1>
    </dataValidation>
    <dataValidation type="list" allowBlank="1" showDropDown="0" showInputMessage="1" showErrorMessage="1" sqref="IS33">
      <formula1>"France,Inde,"</formula1>
    </dataValidation>
    <dataValidation type="list" allowBlank="1" showDropDown="0" showInputMessage="1" showErrorMessage="1" sqref="IT33">
      <formula1>"France,Inde,"</formula1>
    </dataValidation>
    <dataValidation type="list" allowBlank="1" showDropDown="0" showInputMessage="1" showErrorMessage="1" sqref="IU33">
      <formula1>"France,Inde,"</formula1>
    </dataValidation>
    <dataValidation type="list" allowBlank="1" showDropDown="0" showInputMessage="1" showErrorMessage="1" sqref="IV33">
      <formula1>"France,Inde,"</formula1>
    </dataValidation>
    <dataValidation type="list" allowBlank="1" showDropDown="0" showInputMessage="1" showErrorMessage="1" sqref="IW33">
      <formula1>"France,Inde,"</formula1>
    </dataValidation>
    <dataValidation type="list" allowBlank="1" showDropDown="0" showInputMessage="1" showErrorMessage="1" sqref="IX33">
      <formula1>"France,Inde,"</formula1>
    </dataValidation>
    <dataValidation type="list" allowBlank="1" showDropDown="0" showInputMessage="1" showErrorMessage="1" sqref="IY33">
      <formula1>"France,Inde,"</formula1>
    </dataValidation>
    <dataValidation type="list" allowBlank="1" showDropDown="0" showInputMessage="1" showErrorMessage="1" sqref="IZ33">
      <formula1>"France,Inde,"</formula1>
    </dataValidation>
    <dataValidation type="list" allowBlank="1" showDropDown="0" showInputMessage="1" showErrorMessage="1" sqref="JA33">
      <formula1>"France,Inde,"</formula1>
    </dataValidation>
    <dataValidation type="list" allowBlank="1" showDropDown="0" showInputMessage="1" showErrorMessage="1" sqref="JB33">
      <formula1>"France,Inde,"</formula1>
    </dataValidation>
    <dataValidation type="list" allowBlank="1" showDropDown="0" showInputMessage="1" showErrorMessage="1" sqref="JC33">
      <formula1>"France,Inde,"</formula1>
    </dataValidation>
    <dataValidation type="list" allowBlank="1" showDropDown="0" showInputMessage="1" showErrorMessage="1" sqref="JD33">
      <formula1>"France,Inde,"</formula1>
    </dataValidation>
    <dataValidation type="list" allowBlank="1" showDropDown="0" showInputMessage="1" showErrorMessage="1" sqref="JE33">
      <formula1>"France,Inde,"</formula1>
    </dataValidation>
    <dataValidation type="list" allowBlank="1" showDropDown="0" showInputMessage="1" showErrorMessage="1" sqref="JF33">
      <formula1>"France,Inde,"</formula1>
    </dataValidation>
    <dataValidation type="list" allowBlank="1" showDropDown="0" showInputMessage="1" showErrorMessage="1" sqref="JG33">
      <formula1>"France,Inde,"</formula1>
    </dataValidation>
    <dataValidation type="list" allowBlank="1" showDropDown="0" showInputMessage="1" showErrorMessage="1" sqref="JH33">
      <formula1>"France,Inde,"</formula1>
    </dataValidation>
    <dataValidation type="list" allowBlank="1" showDropDown="0" showInputMessage="1" showErrorMessage="1" sqref="JI33">
      <formula1>"France,Inde,"</formula1>
    </dataValidation>
    <dataValidation type="list" allowBlank="1" showDropDown="0" showInputMessage="1" showErrorMessage="1" sqref="JJ33">
      <formula1>"France,Inde,"</formula1>
    </dataValidation>
    <dataValidation type="list" allowBlank="1" showDropDown="0" showInputMessage="1" showErrorMessage="1" sqref="JK33">
      <formula1>"France,Inde,"</formula1>
    </dataValidation>
    <dataValidation type="list" allowBlank="1" showDropDown="0" showInputMessage="1" showErrorMessage="1" sqref="JL33">
      <formula1>"France,Inde,"</formula1>
    </dataValidation>
    <dataValidation type="list" allowBlank="1" showDropDown="0" showInputMessage="1" showErrorMessage="1" sqref="JM33">
      <formula1>"France,Inde,"</formula1>
    </dataValidation>
    <dataValidation type="list" allowBlank="1" showDropDown="0" showInputMessage="1" showErrorMessage="1" sqref="JN33">
      <formula1>"France,Inde,"</formula1>
    </dataValidation>
    <dataValidation type="list" allowBlank="1" showDropDown="0" showInputMessage="1" showErrorMessage="1" sqref="JO33">
      <formula1>"France,Inde,"</formula1>
    </dataValidation>
    <dataValidation type="list" allowBlank="1" showDropDown="0" showInputMessage="1" showErrorMessage="1" sqref="JP33">
      <formula1>"France,Inde,"</formula1>
    </dataValidation>
    <dataValidation type="list" allowBlank="1" showDropDown="0" showInputMessage="1" showErrorMessage="1" sqref="JQ33">
      <formula1>"France,Inde,"</formula1>
    </dataValidation>
    <dataValidation type="list" allowBlank="1" showDropDown="0" showInputMessage="1" showErrorMessage="1" sqref="JR33">
      <formula1>"France,Inde,"</formula1>
    </dataValidation>
    <dataValidation type="list" allowBlank="1" showDropDown="0" showInputMessage="1" showErrorMessage="1" sqref="JS33">
      <formula1>"France,Inde,"</formula1>
    </dataValidation>
    <dataValidation type="list" allowBlank="1" showDropDown="0" showInputMessage="1" showErrorMessage="1" sqref="JT33">
      <formula1>"France,Inde,"</formula1>
    </dataValidation>
    <dataValidation type="list" allowBlank="1" showDropDown="0" showInputMessage="1" showErrorMessage="1" sqref="JU33">
      <formula1>"France,Inde,"</formula1>
    </dataValidation>
    <dataValidation type="list" allowBlank="1" showDropDown="0" showInputMessage="1" showErrorMessage="1" sqref="JV33">
      <formula1>"France,Inde,"</formula1>
    </dataValidation>
    <dataValidation type="list" allowBlank="1" showDropDown="0" showInputMessage="1" showErrorMessage="1" sqref="JW33">
      <formula1>"France,Inde,"</formula1>
    </dataValidation>
    <dataValidation type="list" allowBlank="1" showDropDown="0" showInputMessage="1" showErrorMessage="1" sqref="JX33">
      <formula1>"France,Inde,"</formula1>
    </dataValidation>
    <dataValidation type="list" allowBlank="1" showDropDown="0" showInputMessage="1" showErrorMessage="1" sqref="JY33">
      <formula1>"France,Inde,"</formula1>
    </dataValidation>
    <dataValidation type="list" allowBlank="1" showDropDown="0" showInputMessage="1" showErrorMessage="1" sqref="JZ33">
      <formula1>"France,Inde,"</formula1>
    </dataValidation>
    <dataValidation type="list" allowBlank="1" showDropDown="0" showInputMessage="1" showErrorMessage="1" sqref="KA33">
      <formula1>"France,Inde,"</formula1>
    </dataValidation>
    <dataValidation type="list" allowBlank="1" showDropDown="0" showInputMessage="1" showErrorMessage="1" sqref="KB33">
      <formula1>"France,Inde,"</formula1>
    </dataValidation>
    <dataValidation type="list" allowBlank="1" showDropDown="0" showInputMessage="1" showErrorMessage="1" sqref="KC33">
      <formula1>"France,Inde,"</formula1>
    </dataValidation>
    <dataValidation type="list" allowBlank="1" showDropDown="0" showInputMessage="1" showErrorMessage="1" sqref="KD33">
      <formula1>"France,Inde,"</formula1>
    </dataValidation>
    <dataValidation type="list" allowBlank="1" showDropDown="0" showInputMessage="1" showErrorMessage="1" sqref="KE33">
      <formula1>"France,Inde,"</formula1>
    </dataValidation>
    <dataValidation type="list" allowBlank="1" showDropDown="0" showInputMessage="1" showErrorMessage="1" sqref="KF33">
      <formula1>"France,Inde,"</formula1>
    </dataValidation>
    <dataValidation type="list" allowBlank="1" showDropDown="0" showInputMessage="1" showErrorMessage="1" sqref="KG33">
      <formula1>"France,Inde,"</formula1>
    </dataValidation>
    <dataValidation type="list" allowBlank="1" showDropDown="0" showInputMessage="1" showErrorMessage="1" sqref="KH33">
      <formula1>"France,Inde,"</formula1>
    </dataValidation>
    <dataValidation type="list" allowBlank="1" showDropDown="0" showInputMessage="1" showErrorMessage="1" sqref="KI33">
      <formula1>"France,Inde,"</formula1>
    </dataValidation>
    <dataValidation type="list" allowBlank="1" showDropDown="0" showInputMessage="1" showErrorMessage="1" sqref="KJ33">
      <formula1>"France,Inde,"</formula1>
    </dataValidation>
    <dataValidation type="list" allowBlank="1" showDropDown="0" showInputMessage="1" showErrorMessage="1" sqref="KK33">
      <formula1>"France,Inde,"</formula1>
    </dataValidation>
    <dataValidation type="list" allowBlank="1" showDropDown="0" showInputMessage="1" showErrorMessage="1" sqref="KL33">
      <formula1>"France,Inde,"</formula1>
    </dataValidation>
    <dataValidation type="list" allowBlank="1" showDropDown="0" showInputMessage="1" showErrorMessage="1" sqref="KM33">
      <formula1>"France,Inde,"</formula1>
    </dataValidation>
    <dataValidation type="list" allowBlank="1" showDropDown="0" showInputMessage="1" showErrorMessage="1" sqref="KN33">
      <formula1>"France,Inde,"</formula1>
    </dataValidation>
    <dataValidation type="list" allowBlank="1" showDropDown="0" showInputMessage="1" showErrorMessage="1" sqref="KO33">
      <formula1>"France,Inde,"</formula1>
    </dataValidation>
    <dataValidation type="list" allowBlank="1" showDropDown="0" showInputMessage="1" showErrorMessage="1" sqref="KP33">
      <formula1>"France,Inde,"</formula1>
    </dataValidation>
    <dataValidation type="list" allowBlank="1" showDropDown="0" showInputMessage="1" showErrorMessage="1" sqref="KQ33">
      <formula1>"France,Inde,"</formula1>
    </dataValidation>
    <dataValidation type="list" allowBlank="1" showDropDown="0" showInputMessage="1" showErrorMessage="1" sqref="KR33">
      <formula1>"France,Inde,"</formula1>
    </dataValidation>
    <dataValidation type="list" allowBlank="1" showDropDown="0" showInputMessage="1" showErrorMessage="1" sqref="KS33">
      <formula1>"France,Inde,"</formula1>
    </dataValidation>
    <dataValidation type="list" allowBlank="1" showDropDown="0" showInputMessage="1" showErrorMessage="1" sqref="KT33">
      <formula1>"France,Inde,"</formula1>
    </dataValidation>
    <dataValidation type="list" allowBlank="1" showDropDown="0" showInputMessage="1" showErrorMessage="1" sqref="KU33">
      <formula1>"France,Inde,"</formula1>
    </dataValidation>
    <dataValidation type="list" allowBlank="1" showDropDown="0" showInputMessage="1" showErrorMessage="1" sqref="KV33">
      <formula1>"France,Inde,"</formula1>
    </dataValidation>
    <dataValidation type="list" allowBlank="1" showDropDown="0" showInputMessage="1" showErrorMessage="1" sqref="KW33">
      <formula1>"France,Inde,"</formula1>
    </dataValidation>
    <dataValidation type="list" allowBlank="1" showDropDown="0" showInputMessage="1" showErrorMessage="1" sqref="KX33">
      <formula1>"France,Inde,"</formula1>
    </dataValidation>
    <dataValidation type="list" allowBlank="1" showDropDown="0" showInputMessage="1" showErrorMessage="1" sqref="KY33">
      <formula1>"France,Inde,"</formula1>
    </dataValidation>
    <dataValidation type="list" allowBlank="1" showDropDown="0" showInputMessage="1" showErrorMessage="1" sqref="KZ33">
      <formula1>"France,Inde,"</formula1>
    </dataValidation>
    <dataValidation type="list" allowBlank="1" showDropDown="0" showInputMessage="1" showErrorMessage="1" sqref="LA33">
      <formula1>"France,Inde,"</formula1>
    </dataValidation>
    <dataValidation type="list" allowBlank="1" showDropDown="0" showInputMessage="1" showErrorMessage="1" sqref="LB33">
      <formula1>"France,Inde,"</formula1>
    </dataValidation>
    <dataValidation type="list" allowBlank="1" showDropDown="0" showInputMessage="1" showErrorMessage="1" sqref="LC33">
      <formula1>"France,Inde,"</formula1>
    </dataValidation>
    <dataValidation type="list" allowBlank="1" showDropDown="0" showInputMessage="1" showErrorMessage="1" sqref="LD33">
      <formula1>"France,Inde,"</formula1>
    </dataValidation>
    <dataValidation type="list" allowBlank="1" showDropDown="0" showInputMessage="1" showErrorMessage="1" sqref="LE33">
      <formula1>"France,Inde,"</formula1>
    </dataValidation>
    <dataValidation type="list" allowBlank="1" showDropDown="0" showInputMessage="1" showErrorMessage="1" sqref="LF33">
      <formula1>"France,Inde,"</formula1>
    </dataValidation>
    <dataValidation type="list" allowBlank="1" showDropDown="0" showInputMessage="1" showErrorMessage="1" sqref="LG33">
      <formula1>"France,Inde,"</formula1>
    </dataValidation>
    <dataValidation type="list" allowBlank="1" showDropDown="0" showInputMessage="1" showErrorMessage="1" sqref="LH33">
      <formula1>"France,Inde,"</formula1>
    </dataValidation>
    <dataValidation type="list" allowBlank="1" showDropDown="0" showInputMessage="1" showErrorMessage="1" sqref="LI33">
      <formula1>"France,Inde,"</formula1>
    </dataValidation>
    <dataValidation type="list" allowBlank="1" showDropDown="0" showInputMessage="1" showErrorMessage="1" sqref="LJ33">
      <formula1>"France,Inde,"</formula1>
    </dataValidation>
    <dataValidation type="list" allowBlank="1" showDropDown="0" showInputMessage="1" showErrorMessage="1" sqref="LK33">
      <formula1>"France,Inde,"</formula1>
    </dataValidation>
    <dataValidation type="list" allowBlank="1" showDropDown="0" showInputMessage="1" showErrorMessage="1" sqref="LL33">
      <formula1>"France,Inde,"</formula1>
    </dataValidation>
    <dataValidation type="list" allowBlank="1" showDropDown="0" showInputMessage="1" showErrorMessage="1" sqref="LM33">
      <formula1>"France,Inde,"</formula1>
    </dataValidation>
    <dataValidation type="list" allowBlank="1" showDropDown="0" showInputMessage="1" showErrorMessage="1" sqref="LN33">
      <formula1>"France,Inde,"</formula1>
    </dataValidation>
    <dataValidation type="list" allowBlank="1" showDropDown="0" showInputMessage="1" showErrorMessage="1" sqref="LO33">
      <formula1>"France,Inde,"</formula1>
    </dataValidation>
    <dataValidation type="list" allowBlank="1" showDropDown="0" showInputMessage="1" showErrorMessage="1" sqref="LP33">
      <formula1>"France,Inde,"</formula1>
    </dataValidation>
    <dataValidation type="list" allowBlank="1" showDropDown="0" showInputMessage="1" showErrorMessage="1" sqref="LQ33">
      <formula1>"France,Inde,"</formula1>
    </dataValidation>
    <dataValidation type="list" allowBlank="1" showDropDown="0" showInputMessage="1" showErrorMessage="1" sqref="LR33">
      <formula1>"France,Inde,"</formula1>
    </dataValidation>
    <dataValidation type="list" allowBlank="1" showDropDown="0" showInputMessage="1" showErrorMessage="1" sqref="LS33">
      <formula1>"France,Inde,"</formula1>
    </dataValidation>
    <dataValidation type="list" allowBlank="1" showDropDown="0" showInputMessage="1" showErrorMessage="1" sqref="LT33">
      <formula1>"France,Inde,"</formula1>
    </dataValidation>
    <dataValidation type="list" allowBlank="1" showDropDown="0" showInputMessage="1" showErrorMessage="1" sqref="LU33">
      <formula1>"France,Inde,"</formula1>
    </dataValidation>
    <dataValidation type="list" allowBlank="1" showDropDown="0" showInputMessage="1" showErrorMessage="1" sqref="LV33">
      <formula1>"France,Inde,"</formula1>
    </dataValidation>
    <dataValidation type="list" allowBlank="1" showDropDown="0" showInputMessage="1" showErrorMessage="1" sqref="LW33">
      <formula1>"France,Inde,"</formula1>
    </dataValidation>
    <dataValidation type="list" allowBlank="1" showDropDown="0" showInputMessage="1" showErrorMessage="1" sqref="LX33">
      <formula1>"France,Inde,"</formula1>
    </dataValidation>
    <dataValidation type="list" allowBlank="1" showDropDown="0" showInputMessage="1" showErrorMessage="1" sqref="LY33">
      <formula1>"France,Inde,"</formula1>
    </dataValidation>
    <dataValidation type="list" allowBlank="1" showDropDown="0" showInputMessage="1" showErrorMessage="1" sqref="LZ33">
      <formula1>"France,Inde,"</formula1>
    </dataValidation>
    <dataValidation type="list" allowBlank="1" showDropDown="0" showInputMessage="1" showErrorMessage="1" sqref="MA33">
      <formula1>"France,Inde,"</formula1>
    </dataValidation>
    <dataValidation type="list" allowBlank="1" showDropDown="0" showInputMessage="1" showErrorMessage="1" sqref="MB33">
      <formula1>"France,Inde,"</formula1>
    </dataValidation>
    <dataValidation type="list" allowBlank="1" showDropDown="0" showInputMessage="1" showErrorMessage="1" sqref="MC33">
      <formula1>"France,Inde,"</formula1>
    </dataValidation>
    <dataValidation type="list" allowBlank="1" showDropDown="0" showInputMessage="1" showErrorMessage="1" sqref="MD33">
      <formula1>"France,Inde,"</formula1>
    </dataValidation>
    <dataValidation type="list" allowBlank="1" showDropDown="0" showInputMessage="1" showErrorMessage="1" sqref="ME33">
      <formula1>"France,Inde,"</formula1>
    </dataValidation>
    <dataValidation type="list" allowBlank="1" showDropDown="0" showInputMessage="1" showErrorMessage="1" sqref="MF33">
      <formula1>"France,Inde,"</formula1>
    </dataValidation>
    <dataValidation type="list" allowBlank="1" showDropDown="0" showInputMessage="1" showErrorMessage="1" sqref="MG33">
      <formula1>"France,Inde,"</formula1>
    </dataValidation>
    <dataValidation type="list" allowBlank="1" showDropDown="0" showInputMessage="1" showErrorMessage="1" sqref="MH33">
      <formula1>"France,Inde,"</formula1>
    </dataValidation>
    <dataValidation type="list" allowBlank="1" showDropDown="0" showInputMessage="1" showErrorMessage="1" sqref="MI33">
      <formula1>"France,Inde,"</formula1>
    </dataValidation>
    <dataValidation type="list" allowBlank="1" showDropDown="0" showInputMessage="1" showErrorMessage="1" sqref="MJ33">
      <formula1>"France,Inde,"</formula1>
    </dataValidation>
    <dataValidation type="list" allowBlank="1" showDropDown="0" showInputMessage="1" showErrorMessage="1" sqref="MK33">
      <formula1>"France,Inde,"</formula1>
    </dataValidation>
    <dataValidation type="list" allowBlank="1" showDropDown="0" showInputMessage="1" showErrorMessage="1" sqref="ML33">
      <formula1>"France,Inde,"</formula1>
    </dataValidation>
    <dataValidation type="list" allowBlank="1" showDropDown="0" showInputMessage="1" showErrorMessage="1" sqref="MM33">
      <formula1>"France,Inde,"</formula1>
    </dataValidation>
    <dataValidation type="list" allowBlank="1" showDropDown="0" showInputMessage="1" showErrorMessage="1" sqref="MN33">
      <formula1>"France,Inde,"</formula1>
    </dataValidation>
    <dataValidation type="list" allowBlank="1" showDropDown="0" showInputMessage="1" showErrorMessage="1" sqref="MO33">
      <formula1>"France,Inde,"</formula1>
    </dataValidation>
    <dataValidation type="list" allowBlank="1" showDropDown="0" showInputMessage="1" showErrorMessage="1" sqref="MP33">
      <formula1>"France,Inde,"</formula1>
    </dataValidation>
    <dataValidation type="list" allowBlank="1" showDropDown="0" showInputMessage="1" showErrorMessage="1" sqref="MQ33">
      <formula1>"France,Inde,"</formula1>
    </dataValidation>
    <dataValidation type="list" allowBlank="1" showDropDown="0" showInputMessage="1" showErrorMessage="1" sqref="MR33">
      <formula1>"France,Inde,"</formula1>
    </dataValidation>
    <dataValidation type="list" allowBlank="1" showDropDown="0" showInputMessage="1" showErrorMessage="1" sqref="MS33">
      <formula1>"France,Inde,"</formula1>
    </dataValidation>
    <dataValidation type="list" allowBlank="1" showDropDown="0" showInputMessage="1" showErrorMessage="1" sqref="MT33">
      <formula1>"France,Inde,"</formula1>
    </dataValidation>
    <dataValidation type="list" allowBlank="1" showDropDown="0" showInputMessage="1" showErrorMessage="1" sqref="MU33">
      <formula1>"France,Inde,"</formula1>
    </dataValidation>
    <dataValidation type="list" allowBlank="1" showDropDown="0" showInputMessage="1" showErrorMessage="1" sqref="MV33">
      <formula1>"France,Inde,"</formula1>
    </dataValidation>
    <dataValidation type="list" allowBlank="1" showDropDown="0" showInputMessage="1" showErrorMessage="1" sqref="MW33">
      <formula1>"France,Inde,"</formula1>
    </dataValidation>
    <dataValidation type="list" allowBlank="1" showDropDown="0" showInputMessage="1" showErrorMessage="1" sqref="MX33">
      <formula1>"France,Inde,"</formula1>
    </dataValidation>
    <dataValidation type="list" allowBlank="1" showDropDown="0" showInputMessage="1" showErrorMessage="1" sqref="MY33">
      <formula1>"France,Inde,"</formula1>
    </dataValidation>
    <dataValidation type="list" allowBlank="1" showDropDown="0" showInputMessage="1" showErrorMessage="1" sqref="MZ33">
      <formula1>"France,Inde,"</formula1>
    </dataValidation>
    <dataValidation type="list" allowBlank="1" showDropDown="0" showInputMessage="1" showErrorMessage="1" sqref="NA33">
      <formula1>"France,Inde,"</formula1>
    </dataValidation>
    <dataValidation type="list" allowBlank="1" showDropDown="0" showInputMessage="1" showErrorMessage="1" sqref="NB33">
      <formula1>"France,Inde,"</formula1>
    </dataValidation>
    <dataValidation type="list" allowBlank="1" showDropDown="0" showInputMessage="1" showErrorMessage="1" sqref="NC33">
      <formula1>"France,Inde,"</formula1>
    </dataValidation>
    <dataValidation type="list" allowBlank="1" showDropDown="0" showInputMessage="1" showErrorMessage="1" sqref="ND33">
      <formula1>"France,Inde,"</formula1>
    </dataValidation>
    <dataValidation type="list" allowBlank="1" showDropDown="0" showInputMessage="1" showErrorMessage="1" sqref="NE33">
      <formula1>"France,Inde,"</formula1>
    </dataValidation>
    <dataValidation type="list" allowBlank="1" showDropDown="0" showInputMessage="1" showErrorMessage="1" sqref="NF33">
      <formula1>"France,Inde,"</formula1>
    </dataValidation>
    <dataValidation type="list" allowBlank="1" showDropDown="0" showInputMessage="1" showErrorMessage="1" sqref="NG33">
      <formula1>"France,Inde,"</formula1>
    </dataValidation>
    <dataValidation type="list" allowBlank="1" showDropDown="0" showInputMessage="1" showErrorMessage="1" sqref="NH33">
      <formula1>"France,Inde,"</formula1>
    </dataValidation>
    <dataValidation type="list" allowBlank="1" showDropDown="0" showInputMessage="1" showErrorMessage="1" sqref="NI33">
      <formula1>"France,Inde,"</formula1>
    </dataValidation>
    <dataValidation type="list" allowBlank="1" showDropDown="0" showInputMessage="1" showErrorMessage="1" sqref="NJ33">
      <formula1>"France,Inde,"</formula1>
    </dataValidation>
    <dataValidation type="list" allowBlank="1" showDropDown="0" showInputMessage="1" showErrorMessage="1" sqref="NK33">
      <formula1>"France,Inde,"</formula1>
    </dataValidation>
    <dataValidation type="list" allowBlank="1" showDropDown="0" showInputMessage="1" showErrorMessage="1" sqref="NL33">
      <formula1>"France,Inde,"</formula1>
    </dataValidation>
    <dataValidation type="list" allowBlank="1" showDropDown="0" showInputMessage="1" showErrorMessage="1" sqref="NM33">
      <formula1>"France,Inde,"</formula1>
    </dataValidation>
    <dataValidation type="list" allowBlank="1" showDropDown="0" showInputMessage="1" showErrorMessage="1" sqref="NN33">
      <formula1>"France,Inde,"</formula1>
    </dataValidation>
    <dataValidation type="list" allowBlank="1" showDropDown="0" showInputMessage="1" showErrorMessage="1" sqref="NO33">
      <formula1>"France,Inde,"</formula1>
    </dataValidation>
    <dataValidation type="list" allowBlank="1" showDropDown="0" showInputMessage="1" showErrorMessage="1" sqref="NP33">
      <formula1>"France,Inde,"</formula1>
    </dataValidation>
    <dataValidation type="list" allowBlank="1" showDropDown="0" showInputMessage="1" showErrorMessage="1" sqref="NQ33">
      <formula1>"France,Inde,"</formula1>
    </dataValidation>
    <dataValidation type="list" allowBlank="1" showDropDown="0" showInputMessage="1" showErrorMessage="1" sqref="NR33">
      <formula1>"France,Inde,"</formula1>
    </dataValidation>
    <dataValidation type="list" allowBlank="1" showDropDown="0" showInputMessage="1" showErrorMessage="1" sqref="NS33">
      <formula1>"France,Inde,"</formula1>
    </dataValidation>
    <dataValidation type="list" allowBlank="1" showDropDown="0" showInputMessage="1" showErrorMessage="1" sqref="NT33">
      <formula1>"France,Inde,"</formula1>
    </dataValidation>
    <dataValidation type="list" allowBlank="1" showDropDown="0" showInputMessage="1" showErrorMessage="1" sqref="NU33">
      <formula1>"France,Inde,"</formula1>
    </dataValidation>
    <dataValidation type="list" allowBlank="1" showDropDown="0" showInputMessage="1" showErrorMessage="1" sqref="NV33">
      <formula1>"France,Inde,"</formula1>
    </dataValidation>
    <dataValidation type="list" allowBlank="1" showDropDown="0" showInputMessage="1" showErrorMessage="1" sqref="NW33">
      <formula1>"France,Inde,"</formula1>
    </dataValidation>
    <dataValidation type="list" allowBlank="1" showDropDown="0" showInputMessage="1" showErrorMessage="1" sqref="NX33">
      <formula1>"France,Inde,"</formula1>
    </dataValidation>
    <dataValidation type="list" allowBlank="1" showDropDown="0" showInputMessage="1" showErrorMessage="1" sqref="NY33">
      <formula1>"France,Inde,"</formula1>
    </dataValidation>
    <dataValidation type="list" allowBlank="1" showDropDown="0" showInputMessage="1" showErrorMessage="1" sqref="NZ33">
      <formula1>"France,Inde,"</formula1>
    </dataValidation>
    <dataValidation type="list" allowBlank="1" showDropDown="0" showInputMessage="1" showErrorMessage="1" sqref="OA33">
      <formula1>"France,Inde,"</formula1>
    </dataValidation>
    <dataValidation type="list" allowBlank="1" showDropDown="0" showInputMessage="1" showErrorMessage="1" sqref="OB33">
      <formula1>"France,Inde,"</formula1>
    </dataValidation>
    <dataValidation type="list" allowBlank="1" showDropDown="0" showInputMessage="1" showErrorMessage="1" sqref="OC33">
      <formula1>"France,Inde,"</formula1>
    </dataValidation>
    <dataValidation type="list" allowBlank="1" showDropDown="0" showInputMessage="1" showErrorMessage="1" sqref="OD33">
      <formula1>"France,Inde,"</formula1>
    </dataValidation>
    <dataValidation type="list" allowBlank="1" showDropDown="0" showInputMessage="1" showErrorMessage="1" sqref="OE33">
      <formula1>"France,Inde,"</formula1>
    </dataValidation>
    <dataValidation type="list" allowBlank="1" showDropDown="0" showInputMessage="1" showErrorMessage="1" sqref="OF33">
      <formula1>"France,Inde,"</formula1>
    </dataValidation>
    <dataValidation type="list" allowBlank="1" showDropDown="0" showInputMessage="1" showErrorMessage="1" sqref="OG33">
      <formula1>"France,Inde,"</formula1>
    </dataValidation>
    <dataValidation type="list" allowBlank="1" showDropDown="0" showInputMessage="1" showErrorMessage="1" sqref="OH33">
      <formula1>"France,Inde,"</formula1>
    </dataValidation>
    <dataValidation type="list" allowBlank="1" showDropDown="0" showInputMessage="1" showErrorMessage="1" sqref="OI33">
      <formula1>"France,Inde,"</formula1>
    </dataValidation>
    <dataValidation type="list" allowBlank="1" showDropDown="0" showInputMessage="1" showErrorMessage="1" sqref="OJ33">
      <formula1>"France,Inde,"</formula1>
    </dataValidation>
    <dataValidation type="list" allowBlank="1" showDropDown="0" showInputMessage="1" showErrorMessage="1" sqref="OK33">
      <formula1>"France,Inde,"</formula1>
    </dataValidation>
    <dataValidation type="list" allowBlank="1" showDropDown="0" showInputMessage="1" showErrorMessage="1" sqref="OL33">
      <formula1>"France,Inde,"</formula1>
    </dataValidation>
    <dataValidation type="list" allowBlank="1" showDropDown="0" showInputMessage="1" showErrorMessage="1" sqref="OM33">
      <formula1>"France,Inde,"</formula1>
    </dataValidation>
    <dataValidation type="list" allowBlank="1" showDropDown="0" showInputMessage="1" showErrorMessage="1" sqref="ON33">
      <formula1>"France,Inde,"</formula1>
    </dataValidation>
    <dataValidation type="list" allowBlank="1" showDropDown="0" showInputMessage="1" showErrorMessage="1" sqref="OO33">
      <formula1>"France,Inde,"</formula1>
    </dataValidation>
    <dataValidation type="list" allowBlank="1" showDropDown="0" showInputMessage="1" showErrorMessage="1" sqref="OP33">
      <formula1>"France,Inde,"</formula1>
    </dataValidation>
    <dataValidation type="list" allowBlank="1" showDropDown="0" showInputMessage="1" showErrorMessage="1" sqref="OQ33">
      <formula1>"France,Inde,"</formula1>
    </dataValidation>
    <dataValidation type="list" allowBlank="1" showDropDown="0" showInputMessage="1" showErrorMessage="1" sqref="OR33">
      <formula1>"France,Inde,"</formula1>
    </dataValidation>
    <dataValidation type="list" allowBlank="1" showDropDown="0" showInputMessage="1" showErrorMessage="1" sqref="OS33">
      <formula1>"France,Inde,"</formula1>
    </dataValidation>
    <dataValidation type="list" allowBlank="1" showDropDown="0" showInputMessage="1" showErrorMessage="1" sqref="OT33">
      <formula1>"France,Inde,"</formula1>
    </dataValidation>
    <dataValidation type="list" allowBlank="1" showDropDown="0" showInputMessage="1" showErrorMessage="1" sqref="OU33">
      <formula1>"France,Inde,"</formula1>
    </dataValidation>
    <dataValidation type="list" allowBlank="1" showDropDown="0" showInputMessage="1" showErrorMessage="1" sqref="OV33">
      <formula1>"France,Inde,"</formula1>
    </dataValidation>
    <dataValidation type="list" allowBlank="1" showDropDown="0" showInputMessage="1" showErrorMessage="1" sqref="OW33">
      <formula1>"France,Inde,"</formula1>
    </dataValidation>
    <dataValidation type="list" allowBlank="1" showDropDown="0" showInputMessage="1" showErrorMessage="1" sqref="OX33">
      <formula1>"France,Inde,"</formula1>
    </dataValidation>
    <dataValidation type="list" allowBlank="1" showDropDown="0" showInputMessage="1" showErrorMessage="1" sqref="OY33">
      <formula1>"France,Inde,"</formula1>
    </dataValidation>
    <dataValidation type="list" allowBlank="1" showDropDown="0" showInputMessage="1" showErrorMessage="1" sqref="OZ33">
      <formula1>"France,Inde,"</formula1>
    </dataValidation>
    <dataValidation type="list" allowBlank="1" showDropDown="0" showInputMessage="1" showErrorMessage="1" sqref="PA33">
      <formula1>"France,Inde,"</formula1>
    </dataValidation>
    <dataValidation type="list" allowBlank="1" showDropDown="0" showInputMessage="1" showErrorMessage="1" sqref="PB33">
      <formula1>"France,Inde,"</formula1>
    </dataValidation>
    <dataValidation type="list" allowBlank="1" showDropDown="0" showInputMessage="1" showErrorMessage="1" sqref="PC33">
      <formula1>"France,Inde,"</formula1>
    </dataValidation>
    <dataValidation type="list" allowBlank="1" showDropDown="0" showInputMessage="1" showErrorMessage="1" sqref="PD33">
      <formula1>"France,Inde,"</formula1>
    </dataValidation>
    <dataValidation type="list" allowBlank="1" showDropDown="0" showInputMessage="1" showErrorMessage="1" sqref="PE33">
      <formula1>"France,Inde,"</formula1>
    </dataValidation>
    <dataValidation type="list" allowBlank="1" showDropDown="0" showInputMessage="1" showErrorMessage="1" sqref="PF33">
      <formula1>"France,Inde,"</formula1>
    </dataValidation>
    <dataValidation type="list" allowBlank="1" showDropDown="0" showInputMessage="1" showErrorMessage="1" sqref="PG33">
      <formula1>"France,Inde,"</formula1>
    </dataValidation>
    <dataValidation type="list" allowBlank="1" showDropDown="0" showInputMessage="1" showErrorMessage="1" sqref="PH33">
      <formula1>"France,Inde,"</formula1>
    </dataValidation>
    <dataValidation type="list" allowBlank="1" showDropDown="0" showInputMessage="1" showErrorMessage="1" sqref="PI33">
      <formula1>"France,Inde,"</formula1>
    </dataValidation>
    <dataValidation type="list" allowBlank="1" showDropDown="0" showInputMessage="1" showErrorMessage="1" sqref="PJ33">
      <formula1>"France,Inde,"</formula1>
    </dataValidation>
    <dataValidation type="list" allowBlank="1" showDropDown="0" showInputMessage="1" showErrorMessage="1" sqref="PK33">
      <formula1>"France,Inde,"</formula1>
    </dataValidation>
    <dataValidation type="list" allowBlank="1" showDropDown="0" showInputMessage="1" showErrorMessage="1" sqref="PL33">
      <formula1>"France,Inde,"</formula1>
    </dataValidation>
    <dataValidation type="list" allowBlank="1" showDropDown="0" showInputMessage="1" showErrorMessage="1" sqref="PM33">
      <formula1>"France,Inde,"</formula1>
    </dataValidation>
    <dataValidation type="list" allowBlank="1" showDropDown="0" showInputMessage="1" showErrorMessage="1" sqref="PN33">
      <formula1>"France,Inde,"</formula1>
    </dataValidation>
    <dataValidation type="list" allowBlank="1" showDropDown="0" showInputMessage="1" showErrorMessage="1" sqref="PO33">
      <formula1>"France,Inde,"</formula1>
    </dataValidation>
    <dataValidation type="list" allowBlank="1" showDropDown="0" showInputMessage="1" showErrorMessage="1" sqref="PP33">
      <formula1>"France,Inde,"</formula1>
    </dataValidation>
    <dataValidation type="list" allowBlank="1" showDropDown="0" showInputMessage="1" showErrorMessage="1" sqref="PQ33">
      <formula1>"France,Inde,"</formula1>
    </dataValidation>
    <dataValidation type="list" allowBlank="1" showDropDown="0" showInputMessage="1" showErrorMessage="1" sqref="PR33">
      <formula1>"France,Inde,"</formula1>
    </dataValidation>
    <dataValidation type="list" allowBlank="1" showDropDown="0" showInputMessage="1" showErrorMessage="1" sqref="PS33">
      <formula1>"France,Inde,"</formula1>
    </dataValidation>
    <dataValidation type="list" allowBlank="1" showDropDown="0" showInputMessage="1" showErrorMessage="1" sqref="PT33">
      <formula1>"France,Inde,"</formula1>
    </dataValidation>
    <dataValidation type="list" allowBlank="1" showDropDown="0" showInputMessage="1" showErrorMessage="1" sqref="PU33">
      <formula1>"France,Inde,"</formula1>
    </dataValidation>
    <dataValidation type="list" allowBlank="1" showDropDown="0" showInputMessage="1" showErrorMessage="1" sqref="PV33">
      <formula1>"France,Inde,"</formula1>
    </dataValidation>
    <dataValidation type="list" allowBlank="1" showDropDown="0" showInputMessage="1" showErrorMessage="1" sqref="PW33">
      <formula1>"France,Inde,"</formula1>
    </dataValidation>
    <dataValidation type="list" allowBlank="1" showDropDown="0" showInputMessage="1" showErrorMessage="1" sqref="PX33">
      <formula1>"France,Inde,"</formula1>
    </dataValidation>
    <dataValidation type="list" allowBlank="1" showDropDown="0" showInputMessage="1" showErrorMessage="1" sqref="PY33">
      <formula1>"France,Inde,"</formula1>
    </dataValidation>
    <dataValidation type="list" allowBlank="1" showDropDown="0" showInputMessage="1" showErrorMessage="1" sqref="PZ33">
      <formula1>"France,Inde,"</formula1>
    </dataValidation>
    <dataValidation type="list" allowBlank="1" showDropDown="0" showInputMessage="1" showErrorMessage="1" sqref="QA33">
      <formula1>"France,Inde,"</formula1>
    </dataValidation>
    <dataValidation type="list" allowBlank="1" showDropDown="0" showInputMessage="1" showErrorMessage="1" sqref="QB33">
      <formula1>"France,Inde,"</formula1>
    </dataValidation>
    <dataValidation type="list" allowBlank="1" showDropDown="0" showInputMessage="1" showErrorMessage="1" sqref="QC33">
      <formula1>"France,Inde,"</formula1>
    </dataValidation>
    <dataValidation type="list" allowBlank="1" showDropDown="0" showInputMessage="1" showErrorMessage="1" sqref="QD33">
      <formula1>"France,Inde,"</formula1>
    </dataValidation>
    <dataValidation type="list" allowBlank="1" showDropDown="0" showInputMessage="1" showErrorMessage="1" sqref="QE33">
      <formula1>"France,Inde,"</formula1>
    </dataValidation>
    <dataValidation type="list" allowBlank="1" showDropDown="0" showInputMessage="1" showErrorMessage="1" sqref="QF33">
      <formula1>"France,Inde,"</formula1>
    </dataValidation>
    <dataValidation type="list" allowBlank="1" showDropDown="0" showInputMessage="1" showErrorMessage="1" sqref="QG33">
      <formula1>"France,Inde,"</formula1>
    </dataValidation>
    <dataValidation type="list" allowBlank="1" showDropDown="0" showInputMessage="1" showErrorMessage="1" sqref="QH33">
      <formula1>"France,Inde,"</formula1>
    </dataValidation>
    <dataValidation type="list" allowBlank="1" showDropDown="0" showInputMessage="1" showErrorMessage="1" sqref="QI33">
      <formula1>"France,Inde,"</formula1>
    </dataValidation>
    <dataValidation type="list" allowBlank="1" showDropDown="0" showInputMessage="1" showErrorMessage="1" sqref="QJ33">
      <formula1>"France,Inde,"</formula1>
    </dataValidation>
    <dataValidation type="list" allowBlank="1" showDropDown="0" showInputMessage="1" showErrorMessage="1" sqref="QK33">
      <formula1>"France,Inde,"</formula1>
    </dataValidation>
    <dataValidation type="list" allowBlank="1" showDropDown="0" showInputMessage="1" showErrorMessage="1" sqref="QL33">
      <formula1>"France,Inde,"</formula1>
    </dataValidation>
    <dataValidation type="list" allowBlank="1" showDropDown="0" showInputMessage="1" showErrorMessage="1" sqref="QM33">
      <formula1>"France,Inde,"</formula1>
    </dataValidation>
    <dataValidation type="list" allowBlank="1" showDropDown="0" showInputMessage="1" showErrorMessage="1" sqref="QN33">
      <formula1>"France,Inde,"</formula1>
    </dataValidation>
    <dataValidation type="list" allowBlank="1" showDropDown="0" showInputMessage="1" showErrorMessage="1" sqref="QO33">
      <formula1>"France,Inde,"</formula1>
    </dataValidation>
    <dataValidation type="list" allowBlank="1" showDropDown="0" showInputMessage="1" showErrorMessage="1" sqref="QP33">
      <formula1>"France,Inde,"</formula1>
    </dataValidation>
    <dataValidation type="list" allowBlank="1" showDropDown="0" showInputMessage="1" showErrorMessage="1" sqref="QQ33">
      <formula1>"France,Inde,"</formula1>
    </dataValidation>
    <dataValidation type="list" allowBlank="1" showDropDown="0" showInputMessage="1" showErrorMessage="1" sqref="QR33">
      <formula1>"France,Inde,"</formula1>
    </dataValidation>
    <dataValidation type="list" allowBlank="1" showDropDown="0" showInputMessage="1" showErrorMessage="1" sqref="QS33">
      <formula1>"France,Inde,"</formula1>
    </dataValidation>
    <dataValidation type="list" allowBlank="1" showDropDown="0" showInputMessage="1" showErrorMessage="1" sqref="QT33">
      <formula1>"France,Inde,"</formula1>
    </dataValidation>
    <dataValidation type="list" allowBlank="1" showDropDown="0" showInputMessage="1" showErrorMessage="1" sqref="QU33">
      <formula1>"France,Inde,"</formula1>
    </dataValidation>
    <dataValidation type="list" allowBlank="1" showDropDown="0" showInputMessage="1" showErrorMessage="1" sqref="QV33">
      <formula1>"France,Inde,"</formula1>
    </dataValidation>
    <dataValidation type="list" allowBlank="1" showDropDown="0" showInputMessage="1" showErrorMessage="1" sqref="QW33">
      <formula1>"France,Inde,"</formula1>
    </dataValidation>
    <dataValidation type="list" allowBlank="1" showDropDown="0" showInputMessage="1" showErrorMessage="1" sqref="QX33">
      <formula1>"France,Inde,"</formula1>
    </dataValidation>
    <dataValidation type="list" allowBlank="1" showDropDown="0" showInputMessage="1" showErrorMessage="1" sqref="QY33">
      <formula1>"France,Inde,"</formula1>
    </dataValidation>
    <dataValidation type="list" allowBlank="1" showDropDown="0" showInputMessage="1" showErrorMessage="1" sqref="QZ33">
      <formula1>"France,Inde,"</formula1>
    </dataValidation>
    <dataValidation type="list" allowBlank="1" showDropDown="0" showInputMessage="1" showErrorMessage="1" sqref="RA33">
      <formula1>"France,Inde,"</formula1>
    </dataValidation>
    <dataValidation type="list" allowBlank="1" showDropDown="0" showInputMessage="1" showErrorMessage="1" sqref="RB33">
      <formula1>"France,Inde,"</formula1>
    </dataValidation>
    <dataValidation type="list" allowBlank="1" showDropDown="0" showInputMessage="1" showErrorMessage="1" sqref="RC33">
      <formula1>"France,Inde,"</formula1>
    </dataValidation>
    <dataValidation type="list" allowBlank="1" showDropDown="0" showInputMessage="1" showErrorMessage="1" sqref="RD33">
      <formula1>"France,Inde,"</formula1>
    </dataValidation>
    <dataValidation type="list" allowBlank="1" showDropDown="0" showInputMessage="1" showErrorMessage="1" sqref="RE33">
      <formula1>"France,Inde,"</formula1>
    </dataValidation>
    <dataValidation type="list" allowBlank="1" showDropDown="0" showInputMessage="1" showErrorMessage="1" sqref="RF33">
      <formula1>"France,Inde,"</formula1>
    </dataValidation>
    <dataValidation type="list" allowBlank="1" showDropDown="0" showInputMessage="1" showErrorMessage="1" sqref="RG33">
      <formula1>"France,Inde,"</formula1>
    </dataValidation>
    <dataValidation type="list" allowBlank="1" showDropDown="0" showInputMessage="1" showErrorMessage="1" sqref="RH33">
      <formula1>"France,Inde,"</formula1>
    </dataValidation>
    <dataValidation type="list" allowBlank="1" showDropDown="0" showInputMessage="1" showErrorMessage="1" sqref="RI33">
      <formula1>"France,Inde,"</formula1>
    </dataValidation>
    <dataValidation type="list" allowBlank="1" showDropDown="0" showInputMessage="1" showErrorMessage="1" sqref="RJ33">
      <formula1>"France,Inde,"</formula1>
    </dataValidation>
    <dataValidation type="list" allowBlank="1" showDropDown="0" showInputMessage="1" showErrorMessage="1" sqref="RK33">
      <formula1>"France,Inde,"</formula1>
    </dataValidation>
    <dataValidation type="list" allowBlank="1" showDropDown="0" showInputMessage="1" showErrorMessage="1" sqref="RL33">
      <formula1>"France,Inde,"</formula1>
    </dataValidation>
    <dataValidation type="list" allowBlank="1" showDropDown="0" showInputMessage="1" showErrorMessage="1" sqref="RM33">
      <formula1>"France,Inde,"</formula1>
    </dataValidation>
    <dataValidation type="list" allowBlank="1" showDropDown="0" showInputMessage="1" showErrorMessage="1" sqref="RN33">
      <formula1>"France,Inde,"</formula1>
    </dataValidation>
    <dataValidation type="list" allowBlank="1" showDropDown="0" showInputMessage="1" showErrorMessage="1" sqref="RO33">
      <formula1>"France,Inde,"</formula1>
    </dataValidation>
    <dataValidation type="list" allowBlank="1" showDropDown="0" showInputMessage="1" showErrorMessage="1" sqref="RP33">
      <formula1>"France,Inde,"</formula1>
    </dataValidation>
    <dataValidation type="list" allowBlank="1" showDropDown="0" showInputMessage="1" showErrorMessage="1" sqref="RQ33">
      <formula1>"France,Inde,"</formula1>
    </dataValidation>
    <dataValidation type="list" allowBlank="1" showDropDown="0" showInputMessage="1" showErrorMessage="1" sqref="RR33">
      <formula1>"France,Inde,"</formula1>
    </dataValidation>
    <dataValidation type="list" allowBlank="1" showDropDown="0" showInputMessage="1" showErrorMessage="1" sqref="RS33">
      <formula1>"France,Inde,"</formula1>
    </dataValidation>
    <dataValidation type="list" allowBlank="1" showDropDown="0" showInputMessage="1" showErrorMessage="1" sqref="RT33">
      <formula1>"France,Inde,"</formula1>
    </dataValidation>
    <dataValidation type="list" allowBlank="1" showDropDown="0" showInputMessage="1" showErrorMessage="1" sqref="RU33">
      <formula1>"France,Inde,"</formula1>
    </dataValidation>
    <dataValidation type="list" allowBlank="1" showDropDown="0" showInputMessage="1" showErrorMessage="1" sqref="RV33">
      <formula1>"France,Inde,"</formula1>
    </dataValidation>
    <dataValidation type="list" allowBlank="1" showDropDown="0" showInputMessage="1" showErrorMessage="1" sqref="RW33">
      <formula1>"France,Inde,"</formula1>
    </dataValidation>
    <dataValidation type="list" allowBlank="1" showDropDown="0" showInputMessage="1" showErrorMessage="1" sqref="RX33">
      <formula1>"France,Inde,"</formula1>
    </dataValidation>
    <dataValidation type="list" allowBlank="1" showDropDown="0" showInputMessage="1" showErrorMessage="1" sqref="RY33">
      <formula1>"France,Inde,"</formula1>
    </dataValidation>
    <dataValidation type="list" allowBlank="1" showDropDown="0" showInputMessage="1" showErrorMessage="1" sqref="RZ33">
      <formula1>"France,Inde,"</formula1>
    </dataValidation>
    <dataValidation type="list" allowBlank="1" showDropDown="0" showInputMessage="1" showErrorMessage="1" sqref="SA33">
      <formula1>"France,Inde,"</formula1>
    </dataValidation>
    <dataValidation type="list" allowBlank="1" showDropDown="0" showInputMessage="1" showErrorMessage="1" sqref="SB33">
      <formula1>"France,Inde,"</formula1>
    </dataValidation>
    <dataValidation type="list" allowBlank="1" showDropDown="0" showInputMessage="1" showErrorMessage="1" sqref="SC33">
      <formula1>"France,Inde,"</formula1>
    </dataValidation>
    <dataValidation type="list" allowBlank="1" showDropDown="0" showInputMessage="1" showErrorMessage="1" sqref="SD33">
      <formula1>"France,Inde,"</formula1>
    </dataValidation>
    <dataValidation type="list" allowBlank="1" showDropDown="0" showInputMessage="1" showErrorMessage="1" sqref="SE33">
      <formula1>"France,Inde,"</formula1>
    </dataValidation>
    <dataValidation type="list" allowBlank="1" showDropDown="0" showInputMessage="1" showErrorMessage="1" sqref="SF33">
      <formula1>"France,Inde,"</formula1>
    </dataValidation>
    <dataValidation type="list" allowBlank="1" showDropDown="0" showInputMessage="1" showErrorMessage="1" sqref="SG33">
      <formula1>"France,Inde,"</formula1>
    </dataValidation>
    <dataValidation type="list" allowBlank="1" showDropDown="0" showInputMessage="1" showErrorMessage="1" sqref="SH33">
      <formula1>"France,Inde,"</formula1>
    </dataValidation>
    <dataValidation type="list" allowBlank="1" showDropDown="0" showInputMessage="1" showErrorMessage="1" sqref="SI33">
      <formula1>"France,Inde,"</formula1>
    </dataValidation>
    <dataValidation type="list" allowBlank="1" showDropDown="0" showInputMessage="1" showErrorMessage="1" sqref="SJ33">
      <formula1>"France,Inde,"</formula1>
    </dataValidation>
    <dataValidation type="list" allowBlank="1" showDropDown="0" showInputMessage="1" showErrorMessage="1" sqref="SK33">
      <formula1>"France,Inde,"</formula1>
    </dataValidation>
    <dataValidation type="list" allowBlank="1" showDropDown="0" showInputMessage="1" showErrorMessage="1" sqref="SL33">
      <formula1>"France,Inde,"</formula1>
    </dataValidation>
    <dataValidation type="list" allowBlank="1" showDropDown="0" showInputMessage="1" showErrorMessage="1" sqref="SM33">
      <formula1>"France,Inde,"</formula1>
    </dataValidation>
    <dataValidation type="list" allowBlank="1" showDropDown="0" showInputMessage="1" showErrorMessage="1" sqref="SN33">
      <formula1>"France,Inde,"</formula1>
    </dataValidation>
    <dataValidation type="list" allowBlank="1" showDropDown="0" showInputMessage="1" showErrorMessage="1" sqref="SO33">
      <formula1>"France,Inde,"</formula1>
    </dataValidation>
    <dataValidation type="list" allowBlank="1" showDropDown="0" showInputMessage="1" showErrorMessage="1" sqref="SP33">
      <formula1>"France,Inde,"</formula1>
    </dataValidation>
    <dataValidation type="list" allowBlank="1" showDropDown="0" showInputMessage="1" showErrorMessage="1" sqref="SQ33">
      <formula1>"France,Inde,"</formula1>
    </dataValidation>
    <dataValidation type="list" allowBlank="1" showDropDown="0" showInputMessage="1" showErrorMessage="1" sqref="SR33">
      <formula1>"France,Inde,"</formula1>
    </dataValidation>
    <dataValidation type="list" allowBlank="1" showDropDown="0" showInputMessage="1" showErrorMessage="1" sqref="SS33">
      <formula1>"France,Inde,"</formula1>
    </dataValidation>
    <dataValidation type="list" allowBlank="1" showDropDown="0" showInputMessage="1" showErrorMessage="1" sqref="ST33">
      <formula1>"France,Inde,"</formula1>
    </dataValidation>
    <dataValidation type="list" allowBlank="1" showDropDown="0" showInputMessage="1" showErrorMessage="1" sqref="SU33">
      <formula1>"France,Inde,"</formula1>
    </dataValidation>
    <dataValidation type="list" allowBlank="1" showDropDown="0" showInputMessage="1" showErrorMessage="1" sqref="SV33">
      <formula1>"France,Inde,"</formula1>
    </dataValidation>
    <dataValidation type="list" allowBlank="1" showDropDown="0" showInputMessage="1" showErrorMessage="1" sqref="SW33">
      <formula1>"France,Inde,"</formula1>
    </dataValidation>
    <dataValidation type="list" allowBlank="1" showDropDown="0" showInputMessage="1" showErrorMessage="1" sqref="SX33">
      <formula1>"France,Inde,"</formula1>
    </dataValidation>
    <dataValidation type="list" allowBlank="1" showDropDown="0" showInputMessage="1" showErrorMessage="1" sqref="SY33">
      <formula1>"France,Inde,"</formula1>
    </dataValidation>
    <dataValidation type="list" allowBlank="1" showDropDown="0" showInputMessage="1" showErrorMessage="1" sqref="SZ33">
      <formula1>"France,Inde,"</formula1>
    </dataValidation>
    <dataValidation type="list" allowBlank="1" showDropDown="0" showInputMessage="1" showErrorMessage="1" sqref="TA33">
      <formula1>"France,Inde,"</formula1>
    </dataValidation>
    <dataValidation type="list" allowBlank="1" showDropDown="0" showInputMessage="1" showErrorMessage="1" sqref="TB33">
      <formula1>"France,Inde,"</formula1>
    </dataValidation>
    <dataValidation type="list" allowBlank="1" showDropDown="0" showInputMessage="1" showErrorMessage="1" sqref="TC33">
      <formula1>"France,Inde,"</formula1>
    </dataValidation>
    <dataValidation type="list" allowBlank="1" showDropDown="0" showInputMessage="1" showErrorMessage="1" sqref="TD33">
      <formula1>"France,Inde,"</formula1>
    </dataValidation>
    <dataValidation type="list" allowBlank="1" showDropDown="0" showInputMessage="1" showErrorMessage="1" sqref="TE33">
      <formula1>"France,Inde,"</formula1>
    </dataValidation>
    <dataValidation type="list" allowBlank="1" showDropDown="0" showInputMessage="1" showErrorMessage="1" sqref="TF33">
      <formula1>"France,Inde,"</formula1>
    </dataValidation>
    <dataValidation type="list" allowBlank="1" showDropDown="0" showInputMessage="1" showErrorMessage="1" sqref="TG33">
      <formula1>"France,Inde,"</formula1>
    </dataValidation>
    <dataValidation type="list" allowBlank="1" showDropDown="0" showInputMessage="1" showErrorMessage="1" sqref="TH33">
      <formula1>"France,Inde,"</formula1>
    </dataValidation>
    <dataValidation type="list" allowBlank="1" showDropDown="0" showInputMessage="1" showErrorMessage="1" sqref="TI33">
      <formula1>"France,Inde,"</formula1>
    </dataValidation>
    <dataValidation type="list" allowBlank="1" showDropDown="0" showInputMessage="1" showErrorMessage="1" sqref="TJ33">
      <formula1>"France,Inde,"</formula1>
    </dataValidation>
    <dataValidation type="list" allowBlank="1" showDropDown="0" showInputMessage="1" showErrorMessage="1" sqref="TK33">
      <formula1>"France,Inde,"</formula1>
    </dataValidation>
    <dataValidation type="list" allowBlank="1" showDropDown="0" showInputMessage="1" showErrorMessage="1" sqref="TL33">
      <formula1>"France,Inde,"</formula1>
    </dataValidation>
    <dataValidation type="list" allowBlank="1" showDropDown="0" showInputMessage="1" showErrorMessage="1" sqref="TM33">
      <formula1>"France,Inde,"</formula1>
    </dataValidation>
    <dataValidation type="list" allowBlank="1" showDropDown="0" showInputMessage="1" showErrorMessage="1" sqref="TN33">
      <formula1>"France,Inde,"</formula1>
    </dataValidation>
    <dataValidation type="list" allowBlank="1" showDropDown="0" showInputMessage="1" showErrorMessage="1" sqref="TO33">
      <formula1>"France,Inde,"</formula1>
    </dataValidation>
    <dataValidation type="list" allowBlank="1" showDropDown="0" showInputMessage="1" showErrorMessage="1" sqref="TP33">
      <formula1>"France,Inde,"</formula1>
    </dataValidation>
    <dataValidation type="list" allowBlank="1" showDropDown="0" showInputMessage="1" showErrorMessage="1" sqref="TQ33">
      <formula1>"France,Inde,"</formula1>
    </dataValidation>
    <dataValidation type="list" allowBlank="1" showDropDown="0" showInputMessage="1" showErrorMessage="1" sqref="TR33">
      <formula1>"France,Inde,"</formula1>
    </dataValidation>
    <dataValidation type="list" allowBlank="1" showDropDown="0" showInputMessage="1" showErrorMessage="1" sqref="TS33">
      <formula1>"France,Inde,"</formula1>
    </dataValidation>
    <dataValidation type="list" allowBlank="1" showDropDown="0" showInputMessage="1" showErrorMessage="1" sqref="TT33">
      <formula1>"France,Inde,"</formula1>
    </dataValidation>
    <dataValidation type="list" allowBlank="1" showDropDown="0" showInputMessage="1" showErrorMessage="1" sqref="TU33">
      <formula1>"France,Inde,"</formula1>
    </dataValidation>
    <dataValidation type="list" allowBlank="1" showDropDown="0" showInputMessage="1" showErrorMessage="1" sqref="TV33">
      <formula1>"France,Inde,"</formula1>
    </dataValidation>
    <dataValidation type="list" allowBlank="1" showDropDown="0" showInputMessage="1" showErrorMessage="1" sqref="TW33">
      <formula1>"France,Inde,"</formula1>
    </dataValidation>
    <dataValidation type="list" allowBlank="1" showDropDown="0" showInputMessage="1" showErrorMessage="1" sqref="TX33">
      <formula1>"France,Inde,"</formula1>
    </dataValidation>
    <dataValidation type="list" allowBlank="1" showDropDown="0" showInputMessage="1" showErrorMessage="1" sqref="TY33">
      <formula1>"France,Inde,"</formula1>
    </dataValidation>
    <dataValidation type="list" allowBlank="1" showDropDown="0" showInputMessage="1" showErrorMessage="1" sqref="TZ33">
      <formula1>"France,Inde,"</formula1>
    </dataValidation>
    <dataValidation type="list" allowBlank="1" showDropDown="0" showInputMessage="1" showErrorMessage="1" sqref="UA33">
      <formula1>"France,Inde,"</formula1>
    </dataValidation>
    <dataValidation type="list" allowBlank="1" showDropDown="0" showInputMessage="1" showErrorMessage="1" sqref="UB33">
      <formula1>"France,Inde,"</formula1>
    </dataValidation>
    <dataValidation type="list" allowBlank="1" showDropDown="0" showInputMessage="1" showErrorMessage="1" sqref="UC33">
      <formula1>"France,Inde,"</formula1>
    </dataValidation>
    <dataValidation type="list" allowBlank="1" showDropDown="0" showInputMessage="1" showErrorMessage="1" sqref="UD33">
      <formula1>"France,Inde,"</formula1>
    </dataValidation>
    <dataValidation type="list" allowBlank="1" showDropDown="0" showInputMessage="1" showErrorMessage="1" sqref="UE33">
      <formula1>"France,Inde,"</formula1>
    </dataValidation>
    <dataValidation type="list" allowBlank="1" showDropDown="0" showInputMessage="1" showErrorMessage="1" sqref="UF33">
      <formula1>"France,Inde,"</formula1>
    </dataValidation>
    <dataValidation type="list" allowBlank="1" showDropDown="0" showInputMessage="1" showErrorMessage="1" sqref="UG33">
      <formula1>"France,Inde,"</formula1>
    </dataValidation>
    <dataValidation type="list" allowBlank="1" showDropDown="0" showInputMessage="1" showErrorMessage="1" sqref="UH33">
      <formula1>"France,Inde,"</formula1>
    </dataValidation>
    <dataValidation type="list" allowBlank="1" showDropDown="0" showInputMessage="1" showErrorMessage="1" sqref="UI33">
      <formula1>"France,Inde,"</formula1>
    </dataValidation>
    <dataValidation type="list" allowBlank="1" showDropDown="0" showInputMessage="1" showErrorMessage="1" sqref="UJ33">
      <formula1>"France,Inde,"</formula1>
    </dataValidation>
    <dataValidation type="list" allowBlank="1" showDropDown="0" showInputMessage="1" showErrorMessage="1" sqref="UK33">
      <formula1>"France,Inde,"</formula1>
    </dataValidation>
    <dataValidation type="list" allowBlank="1" showDropDown="0" showInputMessage="1" showErrorMessage="1" sqref="UL33">
      <formula1>"France,Inde,"</formula1>
    </dataValidation>
    <dataValidation type="list" allowBlank="1" showDropDown="0" showInputMessage="1" showErrorMessage="1" sqref="UM33">
      <formula1>"France,Inde,"</formula1>
    </dataValidation>
    <dataValidation type="list" allowBlank="1" showDropDown="0" showInputMessage="1" showErrorMessage="1" sqref="UN33">
      <formula1>"France,Inde,"</formula1>
    </dataValidation>
    <dataValidation type="list" allowBlank="1" showDropDown="0" showInputMessage="1" showErrorMessage="1" sqref="UO33">
      <formula1>"France,Inde,"</formula1>
    </dataValidation>
    <dataValidation type="list" allowBlank="1" showDropDown="0" showInputMessage="1" showErrorMessage="1" sqref="UP33">
      <formula1>"France,Inde,"</formula1>
    </dataValidation>
    <dataValidation type="list" allowBlank="1" showDropDown="0" showInputMessage="1" showErrorMessage="1" sqref="UQ33">
      <formula1>"France,Inde,"</formula1>
    </dataValidation>
    <dataValidation type="list" allowBlank="1" showDropDown="0" showInputMessage="1" showErrorMessage="1" sqref="UR33">
      <formula1>"France,Inde,"</formula1>
    </dataValidation>
    <dataValidation type="list" allowBlank="1" showDropDown="0" showInputMessage="1" showErrorMessage="1" sqref="US33">
      <formula1>"France,Inde,"</formula1>
    </dataValidation>
    <dataValidation type="list" allowBlank="1" showDropDown="0" showInputMessage="1" showErrorMessage="1" sqref="UT33">
      <formula1>"France,Inde,"</formula1>
    </dataValidation>
    <dataValidation type="list" allowBlank="1" showDropDown="0" showInputMessage="1" showErrorMessage="1" sqref="UU33">
      <formula1>"France,Inde,"</formula1>
    </dataValidation>
    <dataValidation type="list" allowBlank="1" showDropDown="0" showInputMessage="1" showErrorMessage="1" sqref="UV33">
      <formula1>"France,Inde,"</formula1>
    </dataValidation>
    <dataValidation type="list" allowBlank="1" showDropDown="0" showInputMessage="1" showErrorMessage="1" sqref="UW33">
      <formula1>"France,Inde,"</formula1>
    </dataValidation>
    <dataValidation type="list" allowBlank="1" showDropDown="0" showInputMessage="1" showErrorMessage="1" sqref="UX33">
      <formula1>"France,Inde,"</formula1>
    </dataValidation>
    <dataValidation type="list" allowBlank="1" showDropDown="0" showInputMessage="1" showErrorMessage="1" sqref="UY33">
      <formula1>"France,Inde,"</formula1>
    </dataValidation>
    <dataValidation type="list" allowBlank="1" showDropDown="0" showInputMessage="1" showErrorMessage="1" sqref="UZ33">
      <formula1>"France,Inde,"</formula1>
    </dataValidation>
    <dataValidation type="list" allowBlank="1" showDropDown="0" showInputMessage="1" showErrorMessage="1" sqref="VA33">
      <formula1>"France,Inde,"</formula1>
    </dataValidation>
    <dataValidation type="list" allowBlank="1" showDropDown="0" showInputMessage="1" showErrorMessage="1" sqref="VB33">
      <formula1>"France,Inde,"</formula1>
    </dataValidation>
    <dataValidation type="list" allowBlank="1" showDropDown="0" showInputMessage="1" showErrorMessage="1" sqref="VC33">
      <formula1>"France,Inde,"</formula1>
    </dataValidation>
    <dataValidation type="list" allowBlank="1" showDropDown="0" showInputMessage="1" showErrorMessage="1" sqref="VD33">
      <formula1>"France,Inde,"</formula1>
    </dataValidation>
    <dataValidation type="list" allowBlank="1" showDropDown="0" showInputMessage="1" showErrorMessage="1" sqref="VE33">
      <formula1>"France,Inde,"</formula1>
    </dataValidation>
    <dataValidation type="list" allowBlank="1" showDropDown="0" showInputMessage="1" showErrorMessage="1" sqref="VF33">
      <formula1>"France,Inde,"</formula1>
    </dataValidation>
    <dataValidation type="list" allowBlank="1" showDropDown="0" showInputMessage="1" showErrorMessage="1" sqref="VG33">
      <formula1>"France,Inde,"</formula1>
    </dataValidation>
    <dataValidation type="list" allowBlank="1" showDropDown="0" showInputMessage="1" showErrorMessage="1" sqref="VH33">
      <formula1>"France,Inde,"</formula1>
    </dataValidation>
    <dataValidation type="list" allowBlank="1" showDropDown="0" showInputMessage="1" showErrorMessage="1" sqref="VI33">
      <formula1>"France,Inde,"</formula1>
    </dataValidation>
    <dataValidation type="list" allowBlank="1" showDropDown="0" showInputMessage="1" showErrorMessage="1" sqref="VJ33">
      <formula1>"France,Inde,"</formula1>
    </dataValidation>
    <dataValidation type="list" allowBlank="1" showDropDown="0" showInputMessage="1" showErrorMessage="1" sqref="VK33">
      <formula1>"France,Inde,"</formula1>
    </dataValidation>
    <dataValidation type="list" allowBlank="1" showDropDown="0" showInputMessage="1" showErrorMessage="1" sqref="VL33">
      <formula1>"France,Inde,"</formula1>
    </dataValidation>
    <dataValidation type="list" allowBlank="1" showDropDown="0" showInputMessage="1" showErrorMessage="1" sqref="VM33">
      <formula1>"France,Inde,"</formula1>
    </dataValidation>
    <dataValidation type="list" allowBlank="1" showDropDown="0" showInputMessage="1" showErrorMessage="1" sqref="VN33">
      <formula1>"France,Inde,"</formula1>
    </dataValidation>
    <dataValidation type="list" allowBlank="1" showDropDown="0" showInputMessage="1" showErrorMessage="1" sqref="VO33">
      <formula1>"France,Inde,"</formula1>
    </dataValidation>
    <dataValidation type="list" allowBlank="1" showDropDown="0" showInputMessage="1" showErrorMessage="1" sqref="VP33">
      <formula1>"France,Inde,"</formula1>
    </dataValidation>
    <dataValidation type="list" allowBlank="1" showDropDown="0" showInputMessage="1" showErrorMessage="1" sqref="VQ33">
      <formula1>"France,Inde,"</formula1>
    </dataValidation>
    <dataValidation type="list" allowBlank="1" showDropDown="0" showInputMessage="1" showErrorMessage="1" sqref="VR33">
      <formula1>"France,Inde,"</formula1>
    </dataValidation>
    <dataValidation type="list" allowBlank="1" showDropDown="0" showInputMessage="1" showErrorMessage="1" sqref="VS33">
      <formula1>"France,Inde,"</formula1>
    </dataValidation>
    <dataValidation type="list" allowBlank="1" showDropDown="0" showInputMessage="1" showErrorMessage="1" sqref="VT33">
      <formula1>"France,Inde,"</formula1>
    </dataValidation>
    <dataValidation type="list" allowBlank="1" showDropDown="0" showInputMessage="1" showErrorMessage="1" sqref="VU33">
      <formula1>"France,Inde,"</formula1>
    </dataValidation>
    <dataValidation type="list" allowBlank="1" showDropDown="0" showInputMessage="1" showErrorMessage="1" sqref="VV33">
      <formula1>"France,Inde,"</formula1>
    </dataValidation>
    <dataValidation type="list" allowBlank="1" showDropDown="0" showInputMessage="1" showErrorMessage="1" sqref="VW33">
      <formula1>"France,Inde,"</formula1>
    </dataValidation>
    <dataValidation type="list" allowBlank="1" showDropDown="0" showInputMessage="1" showErrorMessage="1" sqref="VX33">
      <formula1>"France,Inde,"</formula1>
    </dataValidation>
    <dataValidation type="list" allowBlank="1" showDropDown="0" showInputMessage="1" showErrorMessage="1" sqref="VY33">
      <formula1>"France,Inde,"</formula1>
    </dataValidation>
    <dataValidation type="list" allowBlank="1" showDropDown="0" showInputMessage="1" showErrorMessage="1" sqref="VZ33">
      <formula1>"France,Inde,"</formula1>
    </dataValidation>
    <dataValidation type="list" allowBlank="1" showDropDown="0" showInputMessage="1" showErrorMessage="1" sqref="WA33">
      <formula1>"France,Inde,"</formula1>
    </dataValidation>
    <dataValidation type="list" allowBlank="1" showDropDown="0" showInputMessage="1" showErrorMessage="1" sqref="WB33">
      <formula1>"France,Inde,"</formula1>
    </dataValidation>
    <dataValidation type="list" allowBlank="1" showDropDown="0" showInputMessage="1" showErrorMessage="1" sqref="WC33">
      <formula1>"France,Inde,"</formula1>
    </dataValidation>
    <dataValidation type="list" allowBlank="1" showDropDown="0" showInputMessage="1" showErrorMessage="1" sqref="WD33">
      <formula1>"France,Inde,"</formula1>
    </dataValidation>
    <dataValidation type="list" allowBlank="1" showDropDown="0" showInputMessage="1" showErrorMessage="1" sqref="WE33">
      <formula1>"France,Inde,"</formula1>
    </dataValidation>
    <dataValidation type="list" allowBlank="1" showDropDown="0" showInputMessage="1" showErrorMessage="1" sqref="WF33">
      <formula1>"France,Inde,"</formula1>
    </dataValidation>
    <dataValidation type="list" allowBlank="1" showDropDown="0" showInputMessage="1" showErrorMessage="1" sqref="WG33">
      <formula1>"France,Inde,"</formula1>
    </dataValidation>
    <dataValidation type="list" allowBlank="1" showDropDown="0" showInputMessage="1" showErrorMessage="1" sqref="WH33">
      <formula1>"France,Inde,"</formula1>
    </dataValidation>
    <dataValidation type="list" allowBlank="1" showDropDown="0" showInputMessage="1" showErrorMessage="1" sqref="WI33">
      <formula1>"France,Inde,"</formula1>
    </dataValidation>
    <dataValidation type="list" allowBlank="1" showDropDown="0" showInputMessage="1" showErrorMessage="1" sqref="WJ33">
      <formula1>"France,Inde,"</formula1>
    </dataValidation>
    <dataValidation type="list" allowBlank="1" showDropDown="0" showInputMessage="1" showErrorMessage="1" sqref="WK33">
      <formula1>"France,Inde,"</formula1>
    </dataValidation>
    <dataValidation type="list" allowBlank="1" showDropDown="0" showInputMessage="1" showErrorMessage="1" sqref="WL33">
      <formula1>"France,Inde,"</formula1>
    </dataValidation>
    <dataValidation type="list" allowBlank="1" showDropDown="0" showInputMessage="1" showErrorMessage="1" sqref="WM33">
      <formula1>"France,Inde,"</formula1>
    </dataValidation>
    <dataValidation type="list" allowBlank="1" showDropDown="0" showInputMessage="1" showErrorMessage="1" sqref="WN33">
      <formula1>"France,Inde,"</formula1>
    </dataValidation>
    <dataValidation type="list" allowBlank="1" showDropDown="0" showInputMessage="1" showErrorMessage="1" sqref="WO33">
      <formula1>"France,Inde,"</formula1>
    </dataValidation>
    <dataValidation type="list" allowBlank="1" showDropDown="0" showInputMessage="1" showErrorMessage="1" sqref="WP33">
      <formula1>"France,Inde,"</formula1>
    </dataValidation>
    <dataValidation type="list" allowBlank="1" showDropDown="0" showInputMessage="1" showErrorMessage="1" sqref="WQ33">
      <formula1>"France,Inde,"</formula1>
    </dataValidation>
    <dataValidation type="list" allowBlank="1" showDropDown="0" showInputMessage="1" showErrorMessage="1" sqref="WR33">
      <formula1>"France,Inde,"</formula1>
    </dataValidation>
    <dataValidation type="list" allowBlank="1" showDropDown="0" showInputMessage="1" showErrorMessage="1" sqref="WS33">
      <formula1>"France,Inde,"</formula1>
    </dataValidation>
    <dataValidation type="list" allowBlank="1" showDropDown="0" showInputMessage="1" showErrorMessage="1" sqref="WT33">
      <formula1>"France,Inde,"</formula1>
    </dataValidation>
    <dataValidation type="list" allowBlank="1" showDropDown="0" showInputMessage="1" showErrorMessage="1" sqref="WU33">
      <formula1>"France,Inde,"</formula1>
    </dataValidation>
    <dataValidation type="list" allowBlank="1" showDropDown="0" showInputMessage="1" showErrorMessage="1" sqref="WV33">
      <formula1>"France,Inde,"</formula1>
    </dataValidation>
    <dataValidation type="list" allowBlank="1" showDropDown="0" showInputMessage="1" showErrorMessage="1" sqref="WW33">
      <formula1>"France,Inde,"</formula1>
    </dataValidation>
    <dataValidation type="list" allowBlank="1" showDropDown="0" showInputMessage="1" showErrorMessage="1" sqref="WX33">
      <formula1>"France,Inde,"</formula1>
    </dataValidation>
    <dataValidation type="list" allowBlank="1" showDropDown="0" showInputMessage="1" showErrorMessage="1" sqref="WY33">
      <formula1>"France,Inde,"</formula1>
    </dataValidation>
    <dataValidation type="list" allowBlank="1" showDropDown="0" showInputMessage="1" showErrorMessage="1" sqref="WZ33">
      <formula1>"France,Inde,"</formula1>
    </dataValidation>
    <dataValidation type="list" allowBlank="1" showDropDown="0" showInputMessage="1" showErrorMessage="1" sqref="XA33">
      <formula1>"France,Inde,"</formula1>
    </dataValidation>
    <dataValidation type="list" allowBlank="1" showDropDown="0" showInputMessage="1" showErrorMessage="1" sqref="XB33">
      <formula1>"France,Inde,"</formula1>
    </dataValidation>
    <dataValidation type="list" allowBlank="1" showDropDown="0" showInputMessage="1" showErrorMessage="1" sqref="XC33">
      <formula1>"France,Inde,"</formula1>
    </dataValidation>
    <dataValidation type="list" allowBlank="1" showDropDown="0" showInputMessage="1" showErrorMessage="1" sqref="XD33">
      <formula1>"France,Inde,"</formula1>
    </dataValidation>
    <dataValidation type="list" allowBlank="1" showDropDown="0" showInputMessage="1" showErrorMessage="1" sqref="XE33">
      <formula1>"France,Inde,"</formula1>
    </dataValidation>
    <dataValidation type="list" allowBlank="1" showDropDown="0" showInputMessage="1" showErrorMessage="1" sqref="XF33">
      <formula1>"France,Inde,"</formula1>
    </dataValidation>
    <dataValidation type="list" allowBlank="1" showDropDown="0" showInputMessage="1" showErrorMessage="1" sqref="XG33">
      <formula1>"France,Inde,"</formula1>
    </dataValidation>
    <dataValidation type="list" allowBlank="1" showDropDown="0" showInputMessage="1" showErrorMessage="1" sqref="XH33">
      <formula1>"France,Inde,"</formula1>
    </dataValidation>
    <dataValidation type="list" allowBlank="1" showDropDown="0" showInputMessage="1" showErrorMessage="1" sqref="XI33">
      <formula1>"France,Inde,"</formula1>
    </dataValidation>
    <dataValidation type="list" allowBlank="1" showDropDown="0" showInputMessage="1" showErrorMessage="1" sqref="XJ33">
      <formula1>"France,Inde,"</formula1>
    </dataValidation>
    <dataValidation type="list" allowBlank="1" showDropDown="0" showInputMessage="1" showErrorMessage="1" sqref="XK33">
      <formula1>"France,Inde,"</formula1>
    </dataValidation>
    <dataValidation type="list" allowBlank="1" showDropDown="0" showInputMessage="1" showErrorMessage="1" sqref="XL33">
      <formula1>"France,Inde,"</formula1>
    </dataValidation>
    <dataValidation type="list" allowBlank="1" showDropDown="0" showInputMessage="1" showErrorMessage="1" sqref="XM33">
      <formula1>"France,Inde,"</formula1>
    </dataValidation>
    <dataValidation type="list" allowBlank="1" showDropDown="0" showInputMessage="1" showErrorMessage="1" sqref="XN33">
      <formula1>"France,Inde,"</formula1>
    </dataValidation>
    <dataValidation type="list" allowBlank="1" showDropDown="0" showInputMessage="1" showErrorMessage="1" sqref="XO33">
      <formula1>"France,Inde,"</formula1>
    </dataValidation>
    <dataValidation type="list" allowBlank="1" showDropDown="0" showInputMessage="1" showErrorMessage="1" sqref="XP33">
      <formula1>"France,Inde,"</formula1>
    </dataValidation>
    <dataValidation type="list" allowBlank="1" showDropDown="0" showInputMessage="1" showErrorMessage="1" sqref="XQ33">
      <formula1>"France,Inde,"</formula1>
    </dataValidation>
    <dataValidation type="list" allowBlank="1" showDropDown="0" showInputMessage="1" showErrorMessage="1" sqref="XR33">
      <formula1>"France,Inde,"</formula1>
    </dataValidation>
    <dataValidation type="list" allowBlank="1" showDropDown="0" showInputMessage="1" showErrorMessage="1" sqref="XS33">
      <formula1>"France,Inde,"</formula1>
    </dataValidation>
    <dataValidation type="list" allowBlank="1" showDropDown="0" showInputMessage="1" showErrorMessage="1" sqref="XT33">
      <formula1>"France,Inde,"</formula1>
    </dataValidation>
    <dataValidation type="list" allowBlank="1" showDropDown="0" showInputMessage="1" showErrorMessage="1" sqref="XU33">
      <formula1>"France,Inde,"</formula1>
    </dataValidation>
    <dataValidation type="list" allowBlank="1" showDropDown="0" showInputMessage="1" showErrorMessage="1" sqref="XV33">
      <formula1>"France,Inde,"</formula1>
    </dataValidation>
    <dataValidation type="list" allowBlank="1" showDropDown="0" showInputMessage="1" showErrorMessage="1" sqref="XW33">
      <formula1>"France,Inde,"</formula1>
    </dataValidation>
    <dataValidation type="list" allowBlank="1" showDropDown="0" showInputMessage="1" showErrorMessage="1" sqref="XX33">
      <formula1>"France,Inde,"</formula1>
    </dataValidation>
    <dataValidation type="list" allowBlank="1" showDropDown="0" showInputMessage="1" showErrorMessage="1" sqref="XY33">
      <formula1>"France,Inde,"</formula1>
    </dataValidation>
    <dataValidation type="list" allowBlank="1" showDropDown="0" showInputMessage="1" showErrorMessage="1" sqref="XZ33">
      <formula1>"France,Inde,"</formula1>
    </dataValidation>
    <dataValidation type="list" allowBlank="1" showDropDown="0" showInputMessage="1" showErrorMessage="1" sqref="YA33">
      <formula1>"France,Inde,"</formula1>
    </dataValidation>
    <dataValidation type="list" allowBlank="1" showDropDown="0" showInputMessage="1" showErrorMessage="1" sqref="YB33">
      <formula1>"France,Inde,"</formula1>
    </dataValidation>
    <dataValidation type="list" allowBlank="1" showDropDown="0" showInputMessage="1" showErrorMessage="1" sqref="YC33">
      <formula1>"France,Inde,"</formula1>
    </dataValidation>
    <dataValidation type="list" allowBlank="1" showDropDown="0" showInputMessage="1" showErrorMessage="1" sqref="YD33">
      <formula1>"France,Inde,"</formula1>
    </dataValidation>
    <dataValidation type="list" allowBlank="1" showDropDown="0" showInputMessage="1" showErrorMessage="1" sqref="YE33">
      <formula1>"France,Inde,"</formula1>
    </dataValidation>
    <dataValidation type="list" allowBlank="1" showDropDown="0" showInputMessage="1" showErrorMessage="1" sqref="YF33">
      <formula1>"France,Inde,"</formula1>
    </dataValidation>
    <dataValidation type="list" allowBlank="1" showDropDown="0" showInputMessage="1" showErrorMessage="1" sqref="YG33">
      <formula1>"France,Inde,"</formula1>
    </dataValidation>
    <dataValidation type="list" allowBlank="1" showDropDown="0" showInputMessage="1" showErrorMessage="1" sqref="YH33">
      <formula1>"France,Inde,"</formula1>
    </dataValidation>
    <dataValidation type="list" allowBlank="1" showDropDown="0" showInputMessage="1" showErrorMessage="1" sqref="YI33">
      <formula1>"France,Inde,"</formula1>
    </dataValidation>
    <dataValidation type="list" allowBlank="1" showDropDown="0" showInputMessage="1" showErrorMessage="1" sqref="YJ33">
      <formula1>"France,Inde,"</formula1>
    </dataValidation>
    <dataValidation type="list" allowBlank="1" showDropDown="0" showInputMessage="1" showErrorMessage="1" sqref="YK33">
      <formula1>"France,Inde,"</formula1>
    </dataValidation>
    <dataValidation type="list" allowBlank="1" showDropDown="0" showInputMessage="1" showErrorMessage="1" sqref="YL33">
      <formula1>"France,Inde,"</formula1>
    </dataValidation>
    <dataValidation type="list" allowBlank="1" showDropDown="0" showInputMessage="1" showErrorMessage="1" sqref="YM33">
      <formula1>"France,Inde,"</formula1>
    </dataValidation>
    <dataValidation type="list" allowBlank="1" showDropDown="0" showInputMessage="1" showErrorMessage="1" sqref="YN33">
      <formula1>"France,Inde,"</formula1>
    </dataValidation>
    <dataValidation type="list" allowBlank="1" showDropDown="0" showInputMessage="1" showErrorMessage="1" sqref="YO33">
      <formula1>"France,Inde,"</formula1>
    </dataValidation>
    <dataValidation type="list" allowBlank="1" showDropDown="0" showInputMessage="1" showErrorMessage="1" sqref="YP33">
      <formula1>"France,Inde,"</formula1>
    </dataValidation>
    <dataValidation type="list" allowBlank="1" showDropDown="0" showInputMessage="1" showErrorMessage="1" sqref="YQ33">
      <formula1>"France,Inde,"</formula1>
    </dataValidation>
    <dataValidation type="list" allowBlank="1" showDropDown="0" showInputMessage="1" showErrorMessage="1" sqref="YR33">
      <formula1>"France,Inde,"</formula1>
    </dataValidation>
    <dataValidation type="list" allowBlank="1" showDropDown="0" showInputMessage="1" showErrorMessage="1" sqref="YS33">
      <formula1>"France,Inde,"</formula1>
    </dataValidation>
    <dataValidation type="list" allowBlank="1" showDropDown="0" showInputMessage="1" showErrorMessage="1" sqref="YT33">
      <formula1>"France,Inde,"</formula1>
    </dataValidation>
    <dataValidation type="list" allowBlank="1" showDropDown="0" showInputMessage="1" showErrorMessage="1" sqref="YU33">
      <formula1>"France,Inde,"</formula1>
    </dataValidation>
    <dataValidation type="list" allowBlank="1" showDropDown="0" showInputMessage="1" showErrorMessage="1" sqref="YV33">
      <formula1>"France,Inde,"</formula1>
    </dataValidation>
    <dataValidation type="list" allowBlank="1" showDropDown="0" showInputMessage="1" showErrorMessage="1" sqref="YW33">
      <formula1>"France,Inde,"</formula1>
    </dataValidation>
    <dataValidation type="list" allowBlank="1" showDropDown="0" showInputMessage="1" showErrorMessage="1" sqref="YX33">
      <formula1>"France,Inde,"</formula1>
    </dataValidation>
    <dataValidation type="list" allowBlank="1" showDropDown="0" showInputMessage="1" showErrorMessage="1" sqref="YY33">
      <formula1>"France,Inde,"</formula1>
    </dataValidation>
    <dataValidation type="list" allowBlank="1" showDropDown="0" showInputMessage="1" showErrorMessage="1" sqref="YZ33">
      <formula1>"France,Inde,"</formula1>
    </dataValidation>
    <dataValidation type="list" allowBlank="1" showDropDown="0" showInputMessage="1" showErrorMessage="1" sqref="ZA33">
      <formula1>"France,Inde,"</formula1>
    </dataValidation>
    <dataValidation type="list" allowBlank="1" showDropDown="0" showInputMessage="1" showErrorMessage="1" sqref="ZB33">
      <formula1>"France,Inde,"</formula1>
    </dataValidation>
    <dataValidation type="list" allowBlank="1" showDropDown="0" showInputMessage="1" showErrorMessage="1" sqref="ZC33">
      <formula1>"France,Inde,"</formula1>
    </dataValidation>
    <dataValidation type="list" allowBlank="1" showDropDown="0" showInputMessage="1" showErrorMessage="1" sqref="ZD33">
      <formula1>"France,Inde,"</formula1>
    </dataValidation>
    <dataValidation type="list" allowBlank="1" showDropDown="0" showInputMessage="1" showErrorMessage="1" sqref="ZE33">
      <formula1>"France,Inde,"</formula1>
    </dataValidation>
    <dataValidation type="list" allowBlank="1" showDropDown="0" showInputMessage="1" showErrorMessage="1" sqref="ZF33">
      <formula1>"France,Inde,"</formula1>
    </dataValidation>
    <dataValidation type="list" allowBlank="1" showDropDown="0" showInputMessage="1" showErrorMessage="1" sqref="ZG33">
      <formula1>"France,Inde,"</formula1>
    </dataValidation>
    <dataValidation type="list" allowBlank="1" showDropDown="0" showInputMessage="1" showErrorMessage="1" sqref="ZH33">
      <formula1>"France,Inde,"</formula1>
    </dataValidation>
    <dataValidation type="list" allowBlank="1" showDropDown="0" showInputMessage="1" showErrorMessage="1" sqref="ZI33">
      <formula1>"France,Inde,"</formula1>
    </dataValidation>
    <dataValidation type="list" allowBlank="1" showDropDown="0" showInputMessage="1" showErrorMessage="1" sqref="ZJ33">
      <formula1>"France,Inde,"</formula1>
    </dataValidation>
    <dataValidation type="list" allowBlank="1" showDropDown="0" showInputMessage="1" showErrorMessage="1" sqref="ZK33">
      <formula1>"France,Inde,"</formula1>
    </dataValidation>
    <dataValidation type="list" allowBlank="1" showDropDown="0" showInputMessage="1" showErrorMessage="1" sqref="ZL33">
      <formula1>"France,Inde,"</formula1>
    </dataValidation>
    <dataValidation type="list" allowBlank="1" showDropDown="0" showInputMessage="1" showErrorMessage="1" sqref="ZM33">
      <formula1>"France,Inde,"</formula1>
    </dataValidation>
    <dataValidation type="list" allowBlank="1" showDropDown="0" showInputMessage="1" showErrorMessage="1" sqref="ZN33">
      <formula1>"France,Inde,"</formula1>
    </dataValidation>
    <dataValidation type="list" allowBlank="1" showDropDown="0" showInputMessage="1" showErrorMessage="1" sqref="ZO33">
      <formula1>"France,Inde,"</formula1>
    </dataValidation>
    <dataValidation type="list" allowBlank="1" showDropDown="0" showInputMessage="1" showErrorMessage="1" sqref="ZP33">
      <formula1>"France,Inde,"</formula1>
    </dataValidation>
    <dataValidation type="list" allowBlank="1" showDropDown="0" showInputMessage="1" showErrorMessage="1" sqref="ZQ33">
      <formula1>"France,Inde,"</formula1>
    </dataValidation>
    <dataValidation type="list" allowBlank="1" showDropDown="0" showInputMessage="1" showErrorMessage="1" sqref="ZR33">
      <formula1>"France,Inde,"</formula1>
    </dataValidation>
    <dataValidation type="list" allowBlank="1" showDropDown="0" showInputMessage="1" showErrorMessage="1" sqref="ZS33">
      <formula1>"France,Inde,"</formula1>
    </dataValidation>
    <dataValidation type="list" allowBlank="1" showDropDown="0" showInputMessage="1" showErrorMessage="1" sqref="ZT33">
      <formula1>"France,Inde,"</formula1>
    </dataValidation>
    <dataValidation type="list" allowBlank="1" showDropDown="0" showInputMessage="1" showErrorMessage="1" sqref="ZU33">
      <formula1>"France,Inde,"</formula1>
    </dataValidation>
    <dataValidation type="list" allowBlank="1" showDropDown="0" showInputMessage="1" showErrorMessage="1" sqref="ZV33">
      <formula1>"France,Inde,"</formula1>
    </dataValidation>
    <dataValidation type="list" allowBlank="1" showDropDown="0" showInputMessage="1" showErrorMessage="1" sqref="ZW33">
      <formula1>"France,Inde,"</formula1>
    </dataValidation>
    <dataValidation type="list" allowBlank="1" showDropDown="0" showInputMessage="1" showErrorMessage="1" sqref="ZX33">
      <formula1>"France,Inde,"</formula1>
    </dataValidation>
    <dataValidation type="list" allowBlank="1" showDropDown="0" showInputMessage="1" showErrorMessage="1" sqref="ZY33">
      <formula1>"France,Inde,"</formula1>
    </dataValidation>
    <dataValidation type="list" allowBlank="1" showDropDown="0" showInputMessage="1" showErrorMessage="1" sqref="ZZ33">
      <formula1>"France,Inde,"</formula1>
    </dataValidation>
    <dataValidation type="list" allowBlank="1" showDropDown="0" showInputMessage="1" showErrorMessage="1" sqref="AAA33">
      <formula1>"France,Inde,"</formula1>
    </dataValidation>
    <dataValidation type="list" allowBlank="1" showDropDown="0" showInputMessage="1" showErrorMessage="1" sqref="AAB33">
      <formula1>"France,Inde,"</formula1>
    </dataValidation>
    <dataValidation type="list" allowBlank="1" showDropDown="0" showInputMessage="1" showErrorMessage="1" sqref="AAC33">
      <formula1>"France,Inde,"</formula1>
    </dataValidation>
    <dataValidation type="list" allowBlank="1" showDropDown="0" showInputMessage="1" showErrorMessage="1" sqref="AAD33">
      <formula1>"France,Inde,"</formula1>
    </dataValidation>
    <dataValidation type="list" allowBlank="1" showDropDown="0" showInputMessage="1" showErrorMessage="1" sqref="AAE33">
      <formula1>"France,Inde,"</formula1>
    </dataValidation>
    <dataValidation type="list" allowBlank="1" showDropDown="0" showInputMessage="1" showErrorMessage="1" sqref="AAF33">
      <formula1>"France,Inde,"</formula1>
    </dataValidation>
    <dataValidation type="list" allowBlank="1" showDropDown="0" showInputMessage="1" showErrorMessage="1" sqref="AAG33">
      <formula1>"France,Inde,"</formula1>
    </dataValidation>
    <dataValidation type="list" allowBlank="1" showDropDown="0" showInputMessage="1" showErrorMessage="1" sqref="AAH33">
      <formula1>"France,Inde,"</formula1>
    </dataValidation>
    <dataValidation type="list" allowBlank="1" showDropDown="0" showInputMessage="1" showErrorMessage="1" sqref="AAI33">
      <formula1>"France,Inde,"</formula1>
    </dataValidation>
    <dataValidation type="list" allowBlank="1" showDropDown="0" showInputMessage="1" showErrorMessage="1" sqref="AAJ33">
      <formula1>"France,Inde,"</formula1>
    </dataValidation>
    <dataValidation type="list" allowBlank="1" showDropDown="0" showInputMessage="1" showErrorMessage="1" sqref="AAK33">
      <formula1>"France,Inde,"</formula1>
    </dataValidation>
    <dataValidation type="list" allowBlank="1" showDropDown="0" showInputMessage="1" showErrorMessage="1" sqref="AAL33">
      <formula1>"France,Inde,"</formula1>
    </dataValidation>
    <dataValidation type="list" allowBlank="1" showDropDown="0" showInputMessage="1" showErrorMessage="1" sqref="AAM33">
      <formula1>"France,Inde,"</formula1>
    </dataValidation>
    <dataValidation type="list" allowBlank="1" showDropDown="0" showInputMessage="1" showErrorMessage="1" sqref="AAN33">
      <formula1>"France,Inde,"</formula1>
    </dataValidation>
    <dataValidation type="list" allowBlank="1" showDropDown="0" showInputMessage="1" showErrorMessage="1" sqref="AAO33">
      <formula1>"France,Inde,"</formula1>
    </dataValidation>
    <dataValidation type="list" allowBlank="1" showDropDown="0" showInputMessage="1" showErrorMessage="1" sqref="AAP33">
      <formula1>"France,Inde,"</formula1>
    </dataValidation>
    <dataValidation type="list" allowBlank="1" showDropDown="0" showInputMessage="1" showErrorMessage="1" sqref="AAQ33">
      <formula1>"France,Inde,"</formula1>
    </dataValidation>
    <dataValidation type="list" allowBlank="1" showDropDown="0" showInputMessage="1" showErrorMessage="1" sqref="AAR33">
      <formula1>"France,Inde,"</formula1>
    </dataValidation>
    <dataValidation type="list" allowBlank="1" showDropDown="0" showInputMessage="1" showErrorMessage="1" sqref="AAS33">
      <formula1>"France,Inde,"</formula1>
    </dataValidation>
    <dataValidation type="list" allowBlank="1" showDropDown="0" showInputMessage="1" showErrorMessage="1" sqref="AAT33">
      <formula1>"France,Inde,"</formula1>
    </dataValidation>
    <dataValidation type="list" allowBlank="1" showDropDown="0" showInputMessage="1" showErrorMessage="1" sqref="AAU33">
      <formula1>"France,Inde,"</formula1>
    </dataValidation>
    <dataValidation type="list" allowBlank="1" showDropDown="0" showInputMessage="1" showErrorMessage="1" sqref="AAV33">
      <formula1>"France,Inde,"</formula1>
    </dataValidation>
    <dataValidation type="list" allowBlank="1" showDropDown="0" showInputMessage="1" showErrorMessage="1" sqref="AAW33">
      <formula1>"France,Inde,"</formula1>
    </dataValidation>
    <dataValidation type="list" allowBlank="1" showDropDown="0" showInputMessage="1" showErrorMessage="1" sqref="AAX33">
      <formula1>"France,Inde,"</formula1>
    </dataValidation>
    <dataValidation type="list" allowBlank="1" showDropDown="0" showInputMessage="1" showErrorMessage="1" sqref="AAY33">
      <formula1>"France,Inde,"</formula1>
    </dataValidation>
    <dataValidation type="list" allowBlank="1" showDropDown="0" showInputMessage="1" showErrorMessage="1" sqref="AAZ33">
      <formula1>"France,Inde,"</formula1>
    </dataValidation>
    <dataValidation type="list" allowBlank="1" showDropDown="0" showInputMessage="1" showErrorMessage="1" sqref="ABA33">
      <formula1>"France,Inde,"</formula1>
    </dataValidation>
    <dataValidation type="list" allowBlank="1" showDropDown="0" showInputMessage="1" showErrorMessage="1" sqref="ABB33">
      <formula1>"France,Inde,"</formula1>
    </dataValidation>
    <dataValidation type="list" allowBlank="1" showDropDown="0" showInputMessage="1" showErrorMessage="1" sqref="ABC33">
      <formula1>"France,Inde,"</formula1>
    </dataValidation>
    <dataValidation type="list" allowBlank="1" showDropDown="0" showInputMessage="1" showErrorMessage="1" sqref="ABD33">
      <formula1>"France,Inde,"</formula1>
    </dataValidation>
    <dataValidation type="list" allowBlank="1" showDropDown="0" showInputMessage="1" showErrorMessage="1" sqref="ABE33">
      <formula1>"France,Inde,"</formula1>
    </dataValidation>
    <dataValidation type="list" allowBlank="1" showDropDown="0" showInputMessage="1" showErrorMessage="1" sqref="ABF33">
      <formula1>"France,Inde,"</formula1>
    </dataValidation>
    <dataValidation type="list" allowBlank="1" showDropDown="0" showInputMessage="1" showErrorMessage="1" sqref="ABG33">
      <formula1>"France,Inde,"</formula1>
    </dataValidation>
    <dataValidation type="list" allowBlank="1" showDropDown="0" showInputMessage="1" showErrorMessage="1" sqref="ABH33">
      <formula1>"France,Inde,"</formula1>
    </dataValidation>
    <dataValidation type="list" allowBlank="1" showDropDown="0" showInputMessage="1" showErrorMessage="1" sqref="ABI33">
      <formula1>"France,Inde,"</formula1>
    </dataValidation>
    <dataValidation type="list" allowBlank="1" showDropDown="0" showInputMessage="1" showErrorMessage="1" sqref="ABJ33">
      <formula1>"France,Inde,"</formula1>
    </dataValidation>
    <dataValidation type="list" allowBlank="1" showDropDown="0" showInputMessage="1" showErrorMessage="1" sqref="ABK33">
      <formula1>"France,Inde,"</formula1>
    </dataValidation>
    <dataValidation type="list" allowBlank="1" showDropDown="0" showInputMessage="1" showErrorMessage="1" sqref="ABL33">
      <formula1>"France,Inde,"</formula1>
    </dataValidation>
    <dataValidation type="list" allowBlank="1" showDropDown="0" showInputMessage="1" showErrorMessage="1" sqref="ABM33">
      <formula1>"France,Inde,"</formula1>
    </dataValidation>
    <dataValidation type="list" allowBlank="1" showDropDown="0" showInputMessage="1" showErrorMessage="1" sqref="ABN33">
      <formula1>"France,Inde,"</formula1>
    </dataValidation>
    <dataValidation type="list" allowBlank="1" showDropDown="0" showInputMessage="1" showErrorMessage="1" sqref="ABO33">
      <formula1>"France,Inde,"</formula1>
    </dataValidation>
    <dataValidation type="list" allowBlank="1" showDropDown="0" showInputMessage="1" showErrorMessage="1" sqref="ABP33">
      <formula1>"France,Inde,"</formula1>
    </dataValidation>
    <dataValidation type="list" allowBlank="1" showDropDown="0" showInputMessage="1" showErrorMessage="1" sqref="ABQ33">
      <formula1>"France,Inde,"</formula1>
    </dataValidation>
    <dataValidation type="list" allowBlank="1" showDropDown="0" showInputMessage="1" showErrorMessage="1" sqref="ABR33">
      <formula1>"France,Inde,"</formula1>
    </dataValidation>
    <dataValidation type="list" allowBlank="1" showDropDown="0" showInputMessage="1" showErrorMessage="1" sqref="ABS33">
      <formula1>"France,Inde,"</formula1>
    </dataValidation>
    <dataValidation type="list" allowBlank="1" showDropDown="0" showInputMessage="1" showErrorMessage="1" sqref="ABT33">
      <formula1>"France,Inde,"</formula1>
    </dataValidation>
    <dataValidation type="list" allowBlank="1" showDropDown="0" showInputMessage="1" showErrorMessage="1" sqref="ABU33">
      <formula1>"France,Inde,"</formula1>
    </dataValidation>
    <dataValidation type="list" allowBlank="1" showDropDown="0" showInputMessage="1" showErrorMessage="1" sqref="ABV33">
      <formula1>"France,Inde,"</formula1>
    </dataValidation>
    <dataValidation type="list" allowBlank="1" showDropDown="0" showInputMessage="1" showErrorMessage="1" sqref="ABW33">
      <formula1>"France,Inde,"</formula1>
    </dataValidation>
    <dataValidation type="list" allowBlank="1" showDropDown="0" showInputMessage="1" showErrorMessage="1" sqref="ABX33">
      <formula1>"France,Inde,"</formula1>
    </dataValidation>
    <dataValidation type="list" allowBlank="1" showDropDown="0" showInputMessage="1" showErrorMessage="1" sqref="ABY33">
      <formula1>"France,Inde,"</formula1>
    </dataValidation>
    <dataValidation type="list" allowBlank="1" showDropDown="0" showInputMessage="1" showErrorMessage="1" sqref="ABZ33">
      <formula1>"France,Inde,"</formula1>
    </dataValidation>
    <dataValidation type="list" allowBlank="1" showDropDown="0" showInputMessage="1" showErrorMessage="1" sqref="ACA33">
      <formula1>"France,Inde,"</formula1>
    </dataValidation>
    <dataValidation type="list" allowBlank="1" showDropDown="0" showInputMessage="1" showErrorMessage="1" sqref="ACB33">
      <formula1>"France,Inde,"</formula1>
    </dataValidation>
    <dataValidation type="list" allowBlank="1" showDropDown="0" showInputMessage="1" showErrorMessage="1" sqref="ACC33">
      <formula1>"France,Inde,"</formula1>
    </dataValidation>
    <dataValidation type="list" allowBlank="1" showDropDown="0" showInputMessage="1" showErrorMessage="1" sqref="ACD33">
      <formula1>"France,Inde,"</formula1>
    </dataValidation>
    <dataValidation type="list" allowBlank="1" showDropDown="0" showInputMessage="1" showErrorMessage="1" sqref="ACE33">
      <formula1>"France,Inde,"</formula1>
    </dataValidation>
    <dataValidation type="list" allowBlank="1" showDropDown="0" showInputMessage="1" showErrorMessage="1" sqref="ACF33">
      <formula1>"France,Inde,"</formula1>
    </dataValidation>
    <dataValidation type="list" allowBlank="1" showDropDown="0" showInputMessage="1" showErrorMessage="1" sqref="ACG33">
      <formula1>"France,Inde,"</formula1>
    </dataValidation>
    <dataValidation type="list" allowBlank="1" showDropDown="0" showInputMessage="1" showErrorMessage="1" sqref="ACH33">
      <formula1>"France,Inde,"</formula1>
    </dataValidation>
    <dataValidation type="list" allowBlank="1" showDropDown="0" showInputMessage="1" showErrorMessage="1" sqref="ACI33">
      <formula1>"France,Inde,"</formula1>
    </dataValidation>
    <dataValidation type="list" allowBlank="1" showDropDown="0" showInputMessage="1" showErrorMessage="1" sqref="ACJ33">
      <formula1>"France,Inde,"</formula1>
    </dataValidation>
    <dataValidation type="list" allowBlank="1" showDropDown="0" showInputMessage="1" showErrorMessage="1" sqref="ACK33">
      <formula1>"France,Inde,"</formula1>
    </dataValidation>
    <dataValidation type="list" allowBlank="1" showDropDown="0" showInputMessage="1" showErrorMessage="1" sqref="ACL33">
      <formula1>"France,Inde,"</formula1>
    </dataValidation>
    <dataValidation type="list" allowBlank="1" showDropDown="0" showInputMessage="1" showErrorMessage="1" sqref="ACM33">
      <formula1>"France,Inde,"</formula1>
    </dataValidation>
    <dataValidation type="list" allowBlank="1" showDropDown="0" showInputMessage="1" showErrorMessage="1" sqref="ACN33">
      <formula1>"France,Inde,"</formula1>
    </dataValidation>
    <dataValidation type="list" allowBlank="1" showDropDown="0" showInputMessage="1" showErrorMessage="1" sqref="ACO33">
      <formula1>"France,Inde,"</formula1>
    </dataValidation>
    <dataValidation type="list" allowBlank="1" showDropDown="0" showInputMessage="1" showErrorMessage="1" sqref="ACP33">
      <formula1>"France,Inde,"</formula1>
    </dataValidation>
    <dataValidation type="list" allowBlank="1" showDropDown="0" showInputMessage="1" showErrorMessage="1" sqref="ACQ33">
      <formula1>"France,Inde,"</formula1>
    </dataValidation>
    <dataValidation type="list" allowBlank="1" showDropDown="0" showInputMessage="1" showErrorMessage="1" sqref="ACR33">
      <formula1>"France,Inde,"</formula1>
    </dataValidation>
    <dataValidation type="list" allowBlank="1" showDropDown="0" showInputMessage="1" showErrorMessage="1" sqref="ACS33">
      <formula1>"France,Inde,"</formula1>
    </dataValidation>
    <dataValidation type="list" allowBlank="1" showDropDown="0" showInputMessage="1" showErrorMessage="1" sqref="ACT33">
      <formula1>"France,Inde,"</formula1>
    </dataValidation>
    <dataValidation type="list" allowBlank="1" showDropDown="0" showInputMessage="1" showErrorMessage="1" sqref="ACU33">
      <formula1>"France,Inde,"</formula1>
    </dataValidation>
    <dataValidation type="list" allowBlank="1" showDropDown="0" showInputMessage="1" showErrorMessage="1" sqref="ACV33">
      <formula1>"France,Inde,"</formula1>
    </dataValidation>
    <dataValidation type="list" allowBlank="1" showDropDown="0" showInputMessage="1" showErrorMessage="1" sqref="ACW33">
      <formula1>"France,Inde,"</formula1>
    </dataValidation>
    <dataValidation type="list" allowBlank="1" showDropDown="0" showInputMessage="1" showErrorMessage="1" sqref="ACX33">
      <formula1>"France,Inde,"</formula1>
    </dataValidation>
    <dataValidation type="list" allowBlank="1" showDropDown="0" showInputMessage="1" showErrorMessage="1" sqref="ACY33">
      <formula1>"France,Inde,"</formula1>
    </dataValidation>
    <dataValidation type="list" allowBlank="1" showDropDown="0" showInputMessage="1" showErrorMessage="1" sqref="ACZ33">
      <formula1>"France,Inde,"</formula1>
    </dataValidation>
    <dataValidation type="list" allowBlank="1" showDropDown="0" showInputMessage="1" showErrorMessage="1" sqref="ADA33">
      <formula1>"France,Inde,"</formula1>
    </dataValidation>
    <dataValidation type="list" allowBlank="1" showDropDown="0" showInputMessage="1" showErrorMessage="1" sqref="ADB33">
      <formula1>"France,Inde,"</formula1>
    </dataValidation>
    <dataValidation type="list" allowBlank="1" showDropDown="0" showInputMessage="1" showErrorMessage="1" sqref="ADC33">
      <formula1>"France,Inde,"</formula1>
    </dataValidation>
    <dataValidation type="list" allowBlank="1" showDropDown="0" showInputMessage="1" showErrorMessage="1" sqref="ADD33">
      <formula1>"France,Inde,"</formula1>
    </dataValidation>
    <dataValidation type="list" allowBlank="1" showDropDown="0" showInputMessage="1" showErrorMessage="1" sqref="ADE33">
      <formula1>"France,Inde,"</formula1>
    </dataValidation>
    <dataValidation type="list" allowBlank="1" showDropDown="0" showInputMessage="1" showErrorMessage="1" sqref="ADF33">
      <formula1>"France,Inde,"</formula1>
    </dataValidation>
    <dataValidation type="list" allowBlank="1" showDropDown="0" showInputMessage="1" showErrorMessage="1" sqref="ADG33">
      <formula1>"France,Inde,"</formula1>
    </dataValidation>
    <dataValidation type="list" allowBlank="1" showDropDown="0" showInputMessage="1" showErrorMessage="1" sqref="ADH33">
      <formula1>"France,Inde,"</formula1>
    </dataValidation>
    <dataValidation type="list" allowBlank="1" showDropDown="0" showInputMessage="1" showErrorMessage="1" sqref="ADI33">
      <formula1>"France,Inde,"</formula1>
    </dataValidation>
    <dataValidation type="list" allowBlank="1" showDropDown="0" showInputMessage="1" showErrorMessage="1" sqref="ADJ33">
      <formula1>"France,Inde,"</formula1>
    </dataValidation>
    <dataValidation type="list" allowBlank="1" showDropDown="0" showInputMessage="1" showErrorMessage="1" sqref="ADK33">
      <formula1>"France,Inde,"</formula1>
    </dataValidation>
    <dataValidation type="list" allowBlank="1" showDropDown="0" showInputMessage="1" showErrorMessage="1" sqref="ADL33">
      <formula1>"France,Inde,"</formula1>
    </dataValidation>
    <dataValidation type="list" allowBlank="1" showDropDown="0" showInputMessage="1" showErrorMessage="1" sqref="ADM33">
      <formula1>"France,Inde,"</formula1>
    </dataValidation>
    <dataValidation type="list" allowBlank="1" showDropDown="0" showInputMessage="1" showErrorMessage="1" sqref="ADN33">
      <formula1>"France,Inde,"</formula1>
    </dataValidation>
    <dataValidation type="list" allowBlank="1" showDropDown="0" showInputMessage="1" showErrorMessage="1" sqref="ADO33">
      <formula1>"France,Inde,"</formula1>
    </dataValidation>
    <dataValidation type="list" allowBlank="1" showDropDown="0" showInputMessage="1" showErrorMessage="1" sqref="ADP33">
      <formula1>"France,Inde,"</formula1>
    </dataValidation>
    <dataValidation type="list" allowBlank="1" showDropDown="0" showInputMessage="1" showErrorMessage="1" sqref="ADQ33">
      <formula1>"France,Inde,"</formula1>
    </dataValidation>
    <dataValidation type="list" allowBlank="1" showDropDown="0" showInputMessage="1" showErrorMessage="1" sqref="ADR33">
      <formula1>"France,Inde,"</formula1>
    </dataValidation>
    <dataValidation type="list" allowBlank="1" showDropDown="0" showInputMessage="1" showErrorMessage="1" sqref="ADS33">
      <formula1>"France,Inde,"</formula1>
    </dataValidation>
    <dataValidation type="list" allowBlank="1" showDropDown="0" showInputMessage="1" showErrorMessage="1" sqref="ADT33">
      <formula1>"France,Inde,"</formula1>
    </dataValidation>
    <dataValidation type="list" allowBlank="1" showDropDown="0" showInputMessage="1" showErrorMessage="1" sqref="ADU33">
      <formula1>"France,Inde,"</formula1>
    </dataValidation>
    <dataValidation type="list" allowBlank="1" showDropDown="0" showInputMessage="1" showErrorMessage="1" sqref="ADV33">
      <formula1>"France,Inde,"</formula1>
    </dataValidation>
    <dataValidation type="list" allowBlank="1" showDropDown="0" showInputMessage="1" showErrorMessage="1" sqref="ADW33">
      <formula1>"France,Inde,"</formula1>
    </dataValidation>
    <dataValidation type="list" allowBlank="1" showDropDown="0" showInputMessage="1" showErrorMessage="1" sqref="ADX33">
      <formula1>"France,Inde,"</formula1>
    </dataValidation>
    <dataValidation type="list" allowBlank="1" showDropDown="0" showInputMessage="1" showErrorMessage="1" sqref="ADY33">
      <formula1>"France,Inde,"</formula1>
    </dataValidation>
    <dataValidation type="list" allowBlank="1" showDropDown="0" showInputMessage="1" showErrorMessage="1" sqref="ADZ33">
      <formula1>"France,Inde,"</formula1>
    </dataValidation>
    <dataValidation type="list" allowBlank="1" showDropDown="0" showInputMessage="1" showErrorMessage="1" sqref="AEA33">
      <formula1>"France,Inde,"</formula1>
    </dataValidation>
    <dataValidation type="list" allowBlank="1" showDropDown="0" showInputMessage="1" showErrorMessage="1" sqref="AEB33">
      <formula1>"France,Inde,"</formula1>
    </dataValidation>
    <dataValidation type="list" allowBlank="1" showDropDown="0" showInputMessage="1" showErrorMessage="1" sqref="AEC33">
      <formula1>"France,Inde,"</formula1>
    </dataValidation>
    <dataValidation type="list" allowBlank="1" showDropDown="0" showInputMessage="1" showErrorMessage="1" sqref="AED33">
      <formula1>"France,Inde,"</formula1>
    </dataValidation>
    <dataValidation type="list" allowBlank="1" showDropDown="0" showInputMessage="1" showErrorMessage="1" sqref="AEE33">
      <formula1>"France,Inde,"</formula1>
    </dataValidation>
    <dataValidation type="list" allowBlank="1" showDropDown="0" showInputMessage="1" showErrorMessage="1" sqref="AEF33">
      <formula1>"France,Inde,"</formula1>
    </dataValidation>
    <dataValidation type="list" allowBlank="1" showDropDown="0" showInputMessage="1" showErrorMessage="1" sqref="AEG33">
      <formula1>"France,Inde,"</formula1>
    </dataValidation>
    <dataValidation type="list" allowBlank="1" showDropDown="0" showInputMessage="1" showErrorMessage="1" sqref="AEH33">
      <formula1>"France,Inde,"</formula1>
    </dataValidation>
    <dataValidation type="list" allowBlank="1" showDropDown="0" showInputMessage="1" showErrorMessage="1" sqref="AEI33">
      <formula1>"France,Inde,"</formula1>
    </dataValidation>
    <dataValidation type="list" allowBlank="1" showDropDown="0" showInputMessage="1" showErrorMessage="1" sqref="AEJ33">
      <formula1>"France,Inde,"</formula1>
    </dataValidation>
    <dataValidation type="list" allowBlank="1" showDropDown="0" showInputMessage="1" showErrorMessage="1" sqref="AEK33">
      <formula1>"France,Inde,"</formula1>
    </dataValidation>
    <dataValidation type="list" allowBlank="1" showDropDown="0" showInputMessage="1" showErrorMessage="1" sqref="AEL33">
      <formula1>"France,Inde,"</formula1>
    </dataValidation>
    <dataValidation type="list" allowBlank="1" showDropDown="0" showInputMessage="1" showErrorMessage="1" sqref="AEM33">
      <formula1>"France,Inde,"</formula1>
    </dataValidation>
    <dataValidation type="list" allowBlank="1" showDropDown="0" showInputMessage="1" showErrorMessage="1" sqref="AEN33">
      <formula1>"France,Inde,"</formula1>
    </dataValidation>
    <dataValidation type="list" allowBlank="1" showDropDown="0" showInputMessage="1" showErrorMessage="1" sqref="AEO33">
      <formula1>"France,Inde,"</formula1>
    </dataValidation>
    <dataValidation type="list" allowBlank="1" showDropDown="0" showInputMessage="1" showErrorMessage="1" sqref="AEP33">
      <formula1>"France,Inde,"</formula1>
    </dataValidation>
    <dataValidation type="list" allowBlank="1" showDropDown="0" showInputMessage="1" showErrorMessage="1" sqref="AEQ33">
      <formula1>"France,Inde,"</formula1>
    </dataValidation>
    <dataValidation type="list" allowBlank="1" showDropDown="0" showInputMessage="1" showErrorMessage="1" sqref="AER33">
      <formula1>"France,Inde,"</formula1>
    </dataValidation>
    <dataValidation type="list" allowBlank="1" showDropDown="0" showInputMessage="1" showErrorMessage="1" sqref="AES33">
      <formula1>"France,Inde,"</formula1>
    </dataValidation>
    <dataValidation type="list" allowBlank="1" showDropDown="0" showInputMessage="1" showErrorMessage="1" sqref="AET33">
      <formula1>"France,Inde,"</formula1>
    </dataValidation>
    <dataValidation type="list" allowBlank="1" showDropDown="0" showInputMessage="1" showErrorMessage="1" sqref="AEU33">
      <formula1>"France,Inde,"</formula1>
    </dataValidation>
    <dataValidation type="list" allowBlank="1" showDropDown="0" showInputMessage="1" showErrorMessage="1" sqref="AEV33">
      <formula1>"France,Inde,"</formula1>
    </dataValidation>
    <dataValidation type="list" allowBlank="1" showDropDown="0" showInputMessage="1" showErrorMessage="1" sqref="AEW33">
      <formula1>"France,Inde,"</formula1>
    </dataValidation>
    <dataValidation type="list" allowBlank="1" showDropDown="0" showInputMessage="1" showErrorMessage="1" sqref="AEX33">
      <formula1>"France,Inde,"</formula1>
    </dataValidation>
    <dataValidation type="list" allowBlank="1" showDropDown="0" showInputMessage="1" showErrorMessage="1" sqref="AEY33">
      <formula1>"France,Inde,"</formula1>
    </dataValidation>
    <dataValidation type="list" allowBlank="1" showDropDown="0" showInputMessage="1" showErrorMessage="1" sqref="AEZ33">
      <formula1>"France,Inde,"</formula1>
    </dataValidation>
    <dataValidation type="list" allowBlank="1" showDropDown="0" showInputMessage="1" showErrorMessage="1" sqref="AFA33">
      <formula1>"France,Inde,"</formula1>
    </dataValidation>
    <dataValidation type="list" allowBlank="1" showDropDown="0" showInputMessage="1" showErrorMessage="1" sqref="AFB33">
      <formula1>"France,Inde,"</formula1>
    </dataValidation>
    <dataValidation type="list" allowBlank="1" showDropDown="0" showInputMessage="1" showErrorMessage="1" sqref="AFC33">
      <formula1>"France,Inde,"</formula1>
    </dataValidation>
    <dataValidation type="list" allowBlank="1" showDropDown="0" showInputMessage="1" showErrorMessage="1" sqref="AFD33">
      <formula1>"France,Inde,"</formula1>
    </dataValidation>
    <dataValidation type="list" allowBlank="1" showDropDown="0" showInputMessage="1" showErrorMessage="1" sqref="AFE33">
      <formula1>"France,Inde,"</formula1>
    </dataValidation>
    <dataValidation type="list" allowBlank="1" showDropDown="0" showInputMessage="1" showErrorMessage="1" sqref="AFF33">
      <formula1>"France,Inde,"</formula1>
    </dataValidation>
    <dataValidation type="list" allowBlank="1" showDropDown="0" showInputMessage="1" showErrorMessage="1" sqref="AFG33">
      <formula1>"France,Inde,"</formula1>
    </dataValidation>
    <dataValidation type="list" allowBlank="1" showDropDown="0" showInputMessage="1" showErrorMessage="1" sqref="AFH33">
      <formula1>"France,Inde,"</formula1>
    </dataValidation>
    <dataValidation type="list" allowBlank="1" showDropDown="0" showInputMessage="1" showErrorMessage="1" sqref="AFI33">
      <formula1>"France,Inde,"</formula1>
    </dataValidation>
    <dataValidation type="list" allowBlank="1" showDropDown="0" showInputMessage="1" showErrorMessage="1" sqref="AFJ33">
      <formula1>"France,Inde,"</formula1>
    </dataValidation>
    <dataValidation type="list" allowBlank="1" showDropDown="0" showInputMessage="1" showErrorMessage="1" sqref="AFK33">
      <formula1>"France,Inde,"</formula1>
    </dataValidation>
    <dataValidation type="list" allowBlank="1" showDropDown="0" showInputMessage="1" showErrorMessage="1" sqref="AFL33">
      <formula1>"France,Inde,"</formula1>
    </dataValidation>
    <dataValidation type="list" allowBlank="1" showDropDown="0" showInputMessage="1" showErrorMessage="1" sqref="AFM33">
      <formula1>"France,Inde,"</formula1>
    </dataValidation>
    <dataValidation type="list" allowBlank="1" showDropDown="0" showInputMessage="1" showErrorMessage="1" sqref="AFN33">
      <formula1>"France,Inde,"</formula1>
    </dataValidation>
    <dataValidation type="list" allowBlank="1" showDropDown="0" showInputMessage="1" showErrorMessage="1" sqref="AFO33">
      <formula1>"France,Inde,"</formula1>
    </dataValidation>
    <dataValidation type="list" allowBlank="1" showDropDown="0" showInputMessage="1" showErrorMessage="1" sqref="AFP33">
      <formula1>"France,Inde,"</formula1>
    </dataValidation>
    <dataValidation type="list" allowBlank="1" showDropDown="0" showInputMessage="1" showErrorMessage="1" sqref="AFQ33">
      <formula1>"France,Inde,"</formula1>
    </dataValidation>
    <dataValidation type="list" allowBlank="1" showDropDown="0" showInputMessage="1" showErrorMessage="1" sqref="AFR33">
      <formula1>"France,Inde,"</formula1>
    </dataValidation>
    <dataValidation type="list" allowBlank="1" showDropDown="0" showInputMessage="1" showErrorMessage="1" sqref="AFS33">
      <formula1>"France,Inde,"</formula1>
    </dataValidation>
    <dataValidation type="list" allowBlank="1" showDropDown="0" showInputMessage="1" showErrorMessage="1" sqref="AFT33">
      <formula1>"France,Inde,"</formula1>
    </dataValidation>
    <dataValidation type="list" allowBlank="1" showDropDown="0" showInputMessage="1" showErrorMessage="1" sqref="AFU33">
      <formula1>"France,Inde,"</formula1>
    </dataValidation>
    <dataValidation type="list" allowBlank="1" showDropDown="0" showInputMessage="1" showErrorMessage="1" sqref="AFV33">
      <formula1>"France,Inde,"</formula1>
    </dataValidation>
    <dataValidation type="list" allowBlank="1" showDropDown="0" showInputMessage="1" showErrorMessage="1" sqref="AFW33">
      <formula1>"France,Inde,"</formula1>
    </dataValidation>
    <dataValidation type="list" allowBlank="1" showDropDown="0" showInputMessage="1" showErrorMessage="1" sqref="AFX33">
      <formula1>"France,Inde,"</formula1>
    </dataValidation>
    <dataValidation type="list" allowBlank="1" showDropDown="0" showInputMessage="1" showErrorMessage="1" sqref="AFY33">
      <formula1>"France,Inde,"</formula1>
    </dataValidation>
    <dataValidation type="list" allowBlank="1" showDropDown="0" showInputMessage="1" showErrorMessage="1" sqref="AFZ33">
      <formula1>"France,Inde,"</formula1>
    </dataValidation>
    <dataValidation type="list" allowBlank="1" showDropDown="0" showInputMessage="1" showErrorMessage="1" sqref="AGA33">
      <formula1>"France,Inde,"</formula1>
    </dataValidation>
    <dataValidation type="list" allowBlank="1" showDropDown="0" showInputMessage="1" showErrorMessage="1" sqref="AGB33">
      <formula1>"France,Inde,"</formula1>
    </dataValidation>
    <dataValidation type="list" allowBlank="1" showDropDown="0" showInputMessage="1" showErrorMessage="1" sqref="AGC33">
      <formula1>"France,Inde,"</formula1>
    </dataValidation>
    <dataValidation type="list" allowBlank="1" showDropDown="0" showInputMessage="1" showErrorMessage="1" sqref="AGD33">
      <formula1>"France,Inde,"</formula1>
    </dataValidation>
    <dataValidation type="list" allowBlank="1" showDropDown="0" showInputMessage="1" showErrorMessage="1" sqref="AGE33">
      <formula1>"France,Inde,"</formula1>
    </dataValidation>
    <dataValidation type="list" allowBlank="1" showDropDown="0" showInputMessage="1" showErrorMessage="1" sqref="AGF33">
      <formula1>"France,Inde,"</formula1>
    </dataValidation>
    <dataValidation type="list" allowBlank="1" showDropDown="0" showInputMessage="1" showErrorMessage="1" sqref="AGG33">
      <formula1>"France,Inde,"</formula1>
    </dataValidation>
    <dataValidation type="list" allowBlank="1" showDropDown="0" showInputMessage="1" showErrorMessage="1" sqref="AGH33">
      <formula1>"France,Inde,"</formula1>
    </dataValidation>
    <dataValidation type="list" allowBlank="1" showDropDown="0" showInputMessage="1" showErrorMessage="1" sqref="AGI33">
      <formula1>"France,Inde,"</formula1>
    </dataValidation>
    <dataValidation type="list" allowBlank="1" showDropDown="0" showInputMessage="1" showErrorMessage="1" sqref="AGJ33">
      <formula1>"France,Inde,"</formula1>
    </dataValidation>
    <dataValidation type="list" allowBlank="1" showDropDown="0" showInputMessage="1" showErrorMessage="1" sqref="AGK33">
      <formula1>"France,Inde,"</formula1>
    </dataValidation>
    <dataValidation type="list" allowBlank="1" showDropDown="0" showInputMessage="1" showErrorMessage="1" sqref="AGL33">
      <formula1>"France,Inde,"</formula1>
    </dataValidation>
    <dataValidation type="list" allowBlank="1" showDropDown="0" showInputMessage="1" showErrorMessage="1" sqref="AGM33">
      <formula1>"France,Inde,"</formula1>
    </dataValidation>
    <dataValidation type="list" allowBlank="1" showDropDown="0" showInputMessage="1" showErrorMessage="1" sqref="AGN33">
      <formula1>"France,Inde,"</formula1>
    </dataValidation>
    <dataValidation type="list" allowBlank="1" showDropDown="0" showInputMessage="1" showErrorMessage="1" sqref="AGO33">
      <formula1>"France,Inde,"</formula1>
    </dataValidation>
    <dataValidation type="list" allowBlank="1" showDropDown="0" showInputMessage="1" showErrorMessage="1" sqref="AGP33">
      <formula1>"France,Inde,"</formula1>
    </dataValidation>
    <dataValidation type="list" allowBlank="1" showDropDown="0" showInputMessage="1" showErrorMessage="1" sqref="AGQ33">
      <formula1>"France,Inde,"</formula1>
    </dataValidation>
    <dataValidation type="list" allowBlank="1" showDropDown="0" showInputMessage="1" showErrorMessage="1" sqref="AGR33">
      <formula1>"France,Inde,"</formula1>
    </dataValidation>
    <dataValidation type="list" allowBlank="1" showDropDown="0" showInputMessage="1" showErrorMessage="1" sqref="AGS33">
      <formula1>"France,Inde,"</formula1>
    </dataValidation>
    <dataValidation type="list" allowBlank="1" showDropDown="0" showInputMessage="1" showErrorMessage="1" sqref="AGT33">
      <formula1>"France,Inde,"</formula1>
    </dataValidation>
    <dataValidation type="list" allowBlank="1" showDropDown="0" showInputMessage="1" showErrorMessage="1" sqref="AGU33">
      <formula1>"France,Inde,"</formula1>
    </dataValidation>
    <dataValidation type="list" allowBlank="1" showDropDown="0" showInputMessage="1" showErrorMessage="1" sqref="AGV33">
      <formula1>"France,Inde,"</formula1>
    </dataValidation>
    <dataValidation type="list" allowBlank="1" showDropDown="0" showInputMessage="1" showErrorMessage="1" sqref="AGW33">
      <formula1>"France,Inde,"</formula1>
    </dataValidation>
    <dataValidation type="list" allowBlank="1" showDropDown="0" showInputMessage="1" showErrorMessage="1" sqref="AGX33">
      <formula1>"France,Inde,"</formula1>
    </dataValidation>
    <dataValidation type="list" allowBlank="1" showDropDown="0" showInputMessage="1" showErrorMessage="1" sqref="AGY33">
      <formula1>"France,Inde,"</formula1>
    </dataValidation>
    <dataValidation type="list" allowBlank="1" showDropDown="0" showInputMessage="1" showErrorMessage="1" sqref="AGZ33">
      <formula1>"France,Inde,"</formula1>
    </dataValidation>
    <dataValidation type="list" allowBlank="1" showDropDown="0" showInputMessage="1" showErrorMessage="1" sqref="AHA33">
      <formula1>"France,Inde,"</formula1>
    </dataValidation>
    <dataValidation type="list" allowBlank="1" showDropDown="0" showInputMessage="1" showErrorMessage="1" sqref="AHB33">
      <formula1>"France,Inde,"</formula1>
    </dataValidation>
    <dataValidation type="list" allowBlank="1" showDropDown="0" showInputMessage="1" showErrorMessage="1" sqref="AHC33">
      <formula1>"France,Inde,"</formula1>
    </dataValidation>
    <dataValidation type="list" allowBlank="1" showDropDown="0" showInputMessage="1" showErrorMessage="1" sqref="AHD33">
      <formula1>"France,Inde,"</formula1>
    </dataValidation>
    <dataValidation type="list" allowBlank="1" showDropDown="0" showInputMessage="1" showErrorMessage="1" sqref="AHE33">
      <formula1>"France,Inde,"</formula1>
    </dataValidation>
    <dataValidation type="list" allowBlank="1" showDropDown="0" showInputMessage="1" showErrorMessage="1" sqref="AHF33">
      <formula1>"France,Inde,"</formula1>
    </dataValidation>
    <dataValidation type="list" allowBlank="1" showDropDown="0" showInputMessage="1" showErrorMessage="1" sqref="AHG33">
      <formula1>"France,Inde,"</formula1>
    </dataValidation>
    <dataValidation type="list" allowBlank="1" showDropDown="0" showInputMessage="1" showErrorMessage="1" sqref="AHH33">
      <formula1>"France,Inde,"</formula1>
    </dataValidation>
    <dataValidation type="list" allowBlank="1" showDropDown="0" showInputMessage="1" showErrorMessage="1" sqref="AHI33">
      <formula1>"France,Inde,"</formula1>
    </dataValidation>
    <dataValidation type="list" allowBlank="1" showDropDown="0" showInputMessage="1" showErrorMessage="1" sqref="AHJ33">
      <formula1>"France,Inde,"</formula1>
    </dataValidation>
    <dataValidation type="list" allowBlank="1" showDropDown="0" showInputMessage="1" showErrorMessage="1" sqref="AHK33">
      <formula1>"France,Inde,"</formula1>
    </dataValidation>
    <dataValidation type="list" allowBlank="1" showDropDown="0" showInputMessage="1" showErrorMessage="1" sqref="AHL33">
      <formula1>"France,Inde,"</formula1>
    </dataValidation>
    <dataValidation type="list" allowBlank="1" showDropDown="0" showInputMessage="1" showErrorMessage="1" sqref="AHM33">
      <formula1>"France,Inde,"</formula1>
    </dataValidation>
    <dataValidation type="list" allowBlank="1" showDropDown="0" showInputMessage="1" showErrorMessage="1" sqref="AHN33">
      <formula1>"France,Inde,"</formula1>
    </dataValidation>
    <dataValidation type="list" allowBlank="1" showDropDown="0" showInputMessage="1" showErrorMessage="1" sqref="AHO33">
      <formula1>"France,Inde,"</formula1>
    </dataValidation>
    <dataValidation type="list" allowBlank="1" showDropDown="0" showInputMessage="1" showErrorMessage="1" sqref="AHP33">
      <formula1>"France,Inde,"</formula1>
    </dataValidation>
    <dataValidation type="list" allowBlank="1" showDropDown="0" showInputMessage="1" showErrorMessage="1" sqref="AHQ33">
      <formula1>"France,Inde,"</formula1>
    </dataValidation>
    <dataValidation type="list" allowBlank="1" showDropDown="0" showInputMessage="1" showErrorMessage="1" sqref="AHR33">
      <formula1>"France,Inde,"</formula1>
    </dataValidation>
    <dataValidation type="list" allowBlank="1" showDropDown="0" showInputMessage="1" showErrorMessage="1" sqref="AHS33">
      <formula1>"France,Inde,"</formula1>
    </dataValidation>
    <dataValidation type="list" allowBlank="1" showDropDown="0" showInputMessage="1" showErrorMessage="1" sqref="AHT33">
      <formula1>"France,Inde,"</formula1>
    </dataValidation>
    <dataValidation type="list" allowBlank="1" showDropDown="0" showInputMessage="1" showErrorMessage="1" sqref="AHU33">
      <formula1>"France,Inde,"</formula1>
    </dataValidation>
    <dataValidation type="list" allowBlank="1" showDropDown="0" showInputMessage="1" showErrorMessage="1" sqref="AHV33">
      <formula1>"France,Inde,"</formula1>
    </dataValidation>
    <dataValidation type="list" allowBlank="1" showDropDown="0" showInputMessage="1" showErrorMessage="1" sqref="AHW33">
      <formula1>"France,Inde,"</formula1>
    </dataValidation>
    <dataValidation type="list" allowBlank="1" showDropDown="0" showInputMessage="1" showErrorMessage="1" sqref="AHX33">
      <formula1>"France,Inde,"</formula1>
    </dataValidation>
    <dataValidation type="list" allowBlank="1" showDropDown="0" showInputMessage="1" showErrorMessage="1" sqref="AHY33">
      <formula1>"France,Inde,"</formula1>
    </dataValidation>
    <dataValidation type="list" allowBlank="1" showDropDown="0" showInputMessage="1" showErrorMessage="1" sqref="AHZ33">
      <formula1>"France,Inde,"</formula1>
    </dataValidation>
    <dataValidation type="list" allowBlank="1" showDropDown="0" showInputMessage="1" showErrorMessage="1" sqref="AIA33">
      <formula1>"France,Inde,"</formula1>
    </dataValidation>
    <dataValidation type="list" allowBlank="1" showDropDown="0" showInputMessage="1" showErrorMessage="1" sqref="AIB33">
      <formula1>"France,Inde,"</formula1>
    </dataValidation>
    <dataValidation type="list" allowBlank="1" showDropDown="0" showInputMessage="1" showErrorMessage="1" sqref="AIC33">
      <formula1>"France,Inde,"</formula1>
    </dataValidation>
    <dataValidation type="list" allowBlank="1" showDropDown="0" showInputMessage="1" showErrorMessage="1" sqref="AID33">
      <formula1>"France,Inde,"</formula1>
    </dataValidation>
    <dataValidation type="list" allowBlank="1" showDropDown="0" showInputMessage="1" showErrorMessage="1" sqref="AIE33">
      <formula1>"France,Inde,"</formula1>
    </dataValidation>
    <dataValidation type="list" allowBlank="1" showDropDown="0" showInputMessage="1" showErrorMessage="1" sqref="AIF33">
      <formula1>"France,Inde,"</formula1>
    </dataValidation>
    <dataValidation type="list" allowBlank="1" showDropDown="0" showInputMessage="1" showErrorMessage="1" sqref="AIG33">
      <formula1>"France,Inde,"</formula1>
    </dataValidation>
    <dataValidation type="list" allowBlank="1" showDropDown="0" showInputMessage="1" showErrorMessage="1" sqref="AIH33">
      <formula1>"France,Inde,"</formula1>
    </dataValidation>
    <dataValidation type="list" allowBlank="1" showDropDown="0" showInputMessage="1" showErrorMessage="1" sqref="AII33">
      <formula1>"France,Inde,"</formula1>
    </dataValidation>
    <dataValidation type="list" allowBlank="1" showDropDown="0" showInputMessage="1" showErrorMessage="1" sqref="AIJ33">
      <formula1>"France,Inde,"</formula1>
    </dataValidation>
    <dataValidation type="list" allowBlank="1" showDropDown="0" showInputMessage="1" showErrorMessage="1" sqref="AIK33">
      <formula1>"France,Inde,"</formula1>
    </dataValidation>
    <dataValidation type="list" allowBlank="1" showDropDown="0" showInputMessage="1" showErrorMessage="1" sqref="AIL33">
      <formula1>"France,Inde,"</formula1>
    </dataValidation>
    <dataValidation type="list" allowBlank="1" showDropDown="0" showInputMessage="1" showErrorMessage="1" sqref="AIM33">
      <formula1>"France,Inde,"</formula1>
    </dataValidation>
    <dataValidation type="list" allowBlank="1" showDropDown="0" showInputMessage="1" showErrorMessage="1" sqref="AIN33">
      <formula1>"France,Inde,"</formula1>
    </dataValidation>
    <dataValidation type="list" allowBlank="1" showDropDown="0" showInputMessage="1" showErrorMessage="1" sqref="AIO33">
      <formula1>"France,Inde,"</formula1>
    </dataValidation>
    <dataValidation type="list" allowBlank="1" showDropDown="0" showInputMessage="1" showErrorMessage="1" sqref="AIP33">
      <formula1>"France,Inde,"</formula1>
    </dataValidation>
    <dataValidation type="list" allowBlank="1" showDropDown="0" showInputMessage="1" showErrorMessage="1" sqref="AIQ33">
      <formula1>"France,Inde,"</formula1>
    </dataValidation>
    <dataValidation type="list" allowBlank="1" showDropDown="0" showInputMessage="1" showErrorMessage="1" sqref="AIR33">
      <formula1>"France,Inde,"</formula1>
    </dataValidation>
    <dataValidation type="list" allowBlank="1" showDropDown="0" showInputMessage="1" showErrorMessage="1" sqref="AIS33">
      <formula1>"France,Inde,"</formula1>
    </dataValidation>
    <dataValidation type="list" allowBlank="1" showDropDown="0" showInputMessage="1" showErrorMessage="1" sqref="AIT33">
      <formula1>"France,Inde,"</formula1>
    </dataValidation>
    <dataValidation type="list" allowBlank="1" showDropDown="0" showInputMessage="1" showErrorMessage="1" sqref="AIU33">
      <formula1>"France,Inde,"</formula1>
    </dataValidation>
    <dataValidation type="list" allowBlank="1" showDropDown="0" showInputMessage="1" showErrorMessage="1" sqref="AIV33">
      <formula1>"France,Inde,"</formula1>
    </dataValidation>
    <dataValidation type="list" allowBlank="1" showDropDown="0" showInputMessage="1" showErrorMessage="1" sqref="AIW33">
      <formula1>"France,Inde,"</formula1>
    </dataValidation>
    <dataValidation type="list" allowBlank="1" showDropDown="0" showInputMessage="1" showErrorMessage="1" sqref="AIX33">
      <formula1>"France,Inde,"</formula1>
    </dataValidation>
    <dataValidation type="list" allowBlank="1" showDropDown="0" showInputMessage="1" showErrorMessage="1" sqref="AIY33">
      <formula1>"France,Inde,"</formula1>
    </dataValidation>
    <dataValidation type="list" allowBlank="1" showDropDown="0" showInputMessage="1" showErrorMessage="1" sqref="AIZ33">
      <formula1>"France,Inde,"</formula1>
    </dataValidation>
    <dataValidation type="list" allowBlank="1" showDropDown="0" showInputMessage="1" showErrorMessage="1" sqref="AJA33">
      <formula1>"France,Inde,"</formula1>
    </dataValidation>
    <dataValidation type="list" allowBlank="1" showDropDown="0" showInputMessage="1" showErrorMessage="1" sqref="AJB33">
      <formula1>"France,Inde,"</formula1>
    </dataValidation>
    <dataValidation type="list" allowBlank="1" showDropDown="0" showInputMessage="1" showErrorMessage="1" sqref="AJC33">
      <formula1>"France,Inde,"</formula1>
    </dataValidation>
    <dataValidation type="list" allowBlank="1" showDropDown="0" showInputMessage="1" showErrorMessage="1" sqref="AJD33">
      <formula1>"France,Inde,"</formula1>
    </dataValidation>
    <dataValidation type="list" allowBlank="1" showDropDown="0" showInputMessage="1" showErrorMessage="1" sqref="AJE33">
      <formula1>"France,Inde,"</formula1>
    </dataValidation>
    <dataValidation type="list" allowBlank="1" showDropDown="0" showInputMessage="1" showErrorMessage="1" sqref="AJF33">
      <formula1>"France,Inde,"</formula1>
    </dataValidation>
    <dataValidation type="list" allowBlank="1" showDropDown="0" showInputMessage="1" showErrorMessage="1" sqref="AJG33">
      <formula1>"France,Inde,"</formula1>
    </dataValidation>
    <dataValidation type="list" allowBlank="1" showDropDown="0" showInputMessage="1" showErrorMessage="1" sqref="AJH33">
      <formula1>"France,Inde,"</formula1>
    </dataValidation>
    <dataValidation type="list" allowBlank="1" showDropDown="0" showInputMessage="1" showErrorMessage="1" sqref="AJI33">
      <formula1>"France,Inde,"</formula1>
    </dataValidation>
    <dataValidation type="list" allowBlank="1" showDropDown="0" showInputMessage="1" showErrorMessage="1" sqref="AJJ33">
      <formula1>"France,Inde,"</formula1>
    </dataValidation>
    <dataValidation type="list" allowBlank="1" showDropDown="0" showInputMessage="1" showErrorMessage="1" sqref="AJK33">
      <formula1>"France,Inde,"</formula1>
    </dataValidation>
    <dataValidation type="list" allowBlank="1" showDropDown="0" showInputMessage="1" showErrorMessage="1" sqref="AJL33">
      <formula1>"France,Inde,"</formula1>
    </dataValidation>
    <dataValidation type="list" allowBlank="1" showDropDown="0" showInputMessage="1" showErrorMessage="1" sqref="AJM33">
      <formula1>"France,Inde,"</formula1>
    </dataValidation>
    <dataValidation type="list" allowBlank="1" showDropDown="0" showInputMessage="1" showErrorMessage="1" sqref="AJN33">
      <formula1>"France,Inde,"</formula1>
    </dataValidation>
    <dataValidation type="list" allowBlank="1" showDropDown="0" showInputMessage="1" showErrorMessage="1" sqref="AJO33">
      <formula1>"France,Inde,"</formula1>
    </dataValidation>
    <dataValidation type="list" allowBlank="1" showDropDown="0" showInputMessage="1" showErrorMessage="1" sqref="AJP33">
      <formula1>"France,Inde,"</formula1>
    </dataValidation>
    <dataValidation type="list" allowBlank="1" showDropDown="0" showInputMessage="1" showErrorMessage="1" sqref="AJQ33">
      <formula1>"France,Inde,"</formula1>
    </dataValidation>
    <dataValidation type="list" allowBlank="1" showDropDown="0" showInputMessage="1" showErrorMessage="1" sqref="AJR33">
      <formula1>"France,Inde,"</formula1>
    </dataValidation>
    <dataValidation type="list" allowBlank="1" showDropDown="0" showInputMessage="1" showErrorMessage="1" sqref="AJS33">
      <formula1>"France,Inde,"</formula1>
    </dataValidation>
    <dataValidation type="list" allowBlank="1" showDropDown="0" showInputMessage="1" showErrorMessage="1" sqref="AJT33">
      <formula1>"France,Inde,"</formula1>
    </dataValidation>
    <dataValidation type="list" allowBlank="1" showDropDown="0" showInputMessage="1" showErrorMessage="1" sqref="AJU33">
      <formula1>"France,Inde,"</formula1>
    </dataValidation>
    <dataValidation type="list" allowBlank="1" showDropDown="0" showInputMessage="1" showErrorMessage="1" sqref="AJV33">
      <formula1>"France,Inde,"</formula1>
    </dataValidation>
    <dataValidation type="list" allowBlank="1" showDropDown="0" showInputMessage="1" showErrorMessage="1" sqref="AJW33">
      <formula1>"France,Inde,"</formula1>
    </dataValidation>
    <dataValidation type="list" allowBlank="1" showDropDown="0" showInputMessage="1" showErrorMessage="1" sqref="AJX33">
      <formula1>"France,Inde,"</formula1>
    </dataValidation>
    <dataValidation type="list" allowBlank="1" showDropDown="0" showInputMessage="1" showErrorMessage="1" sqref="AJY33">
      <formula1>"France,Inde,"</formula1>
    </dataValidation>
    <dataValidation type="list" allowBlank="1" showDropDown="0" showInputMessage="1" showErrorMessage="1" sqref="AJZ33">
      <formula1>"France,Inde,"</formula1>
    </dataValidation>
    <dataValidation type="list" allowBlank="1" showDropDown="0" showInputMessage="1" showErrorMessage="1" sqref="AKA33">
      <formula1>"France,Inde,"</formula1>
    </dataValidation>
    <dataValidation type="list" allowBlank="1" showDropDown="0" showInputMessage="1" showErrorMessage="1" sqref="AKB33">
      <formula1>"France,Inde,"</formula1>
    </dataValidation>
    <dataValidation type="list" allowBlank="1" showDropDown="0" showInputMessage="1" showErrorMessage="1" sqref="AKC33">
      <formula1>"France,Inde,"</formula1>
    </dataValidation>
    <dataValidation type="list" allowBlank="1" showDropDown="0" showInputMessage="1" showErrorMessage="1" sqref="AKD33">
      <formula1>"France,Inde,"</formula1>
    </dataValidation>
    <dataValidation type="list" allowBlank="1" showDropDown="0" showInputMessage="1" showErrorMessage="1" sqref="AKE33">
      <formula1>"France,Inde,"</formula1>
    </dataValidation>
    <dataValidation type="list" allowBlank="1" showDropDown="0" showInputMessage="1" showErrorMessage="1" sqref="AKF33">
      <formula1>"France,Inde,"</formula1>
    </dataValidation>
    <dataValidation type="list" allowBlank="1" showDropDown="0" showInputMessage="1" showErrorMessage="1" sqref="AKG33">
      <formula1>"France,Inde,"</formula1>
    </dataValidation>
    <dataValidation type="list" allowBlank="1" showDropDown="0" showInputMessage="1" showErrorMessage="1" sqref="AKH33">
      <formula1>"France,Inde,"</formula1>
    </dataValidation>
    <dataValidation type="list" allowBlank="1" showDropDown="0" showInputMessage="1" showErrorMessage="1" sqref="AKI33">
      <formula1>"France,Inde,"</formula1>
    </dataValidation>
    <dataValidation type="list" allowBlank="1" showDropDown="0" showInputMessage="1" showErrorMessage="1" sqref="AKJ33">
      <formula1>"France,Inde,"</formula1>
    </dataValidation>
    <dataValidation type="list" allowBlank="1" showDropDown="0" showInputMessage="1" showErrorMessage="1" sqref="AKK33">
      <formula1>"France,Inde,"</formula1>
    </dataValidation>
    <dataValidation type="list" allowBlank="1" showDropDown="0" showInputMessage="1" showErrorMessage="1" sqref="AKL33">
      <formula1>"France,Inde,"</formula1>
    </dataValidation>
    <dataValidation type="list" allowBlank="1" showDropDown="0" showInputMessage="1" showErrorMessage="1" sqref="AKM33">
      <formula1>"France,Inde,"</formula1>
    </dataValidation>
    <dataValidation type="list" allowBlank="1" showDropDown="0" showInputMessage="1" showErrorMessage="1" sqref="AKN33">
      <formula1>"France,Inde,"</formula1>
    </dataValidation>
    <dataValidation type="list" allowBlank="1" showDropDown="0" showInputMessage="1" showErrorMessage="1" sqref="AKO33">
      <formula1>"France,Inde,"</formula1>
    </dataValidation>
    <dataValidation type="list" allowBlank="1" showDropDown="0" showInputMessage="1" showErrorMessage="1" sqref="AKP33">
      <formula1>"France,Inde,"</formula1>
    </dataValidation>
    <dataValidation type="list" allowBlank="1" showDropDown="0" showInputMessage="1" showErrorMessage="1" sqref="AKQ33">
      <formula1>"France,Inde,"</formula1>
    </dataValidation>
    <dataValidation type="list" allowBlank="1" showDropDown="0" showInputMessage="1" showErrorMessage="1" sqref="AKR33">
      <formula1>"France,Inde,"</formula1>
    </dataValidation>
    <dataValidation type="list" allowBlank="1" showDropDown="0" showInputMessage="1" showErrorMessage="1" sqref="AKS33">
      <formula1>"France,Inde,"</formula1>
    </dataValidation>
    <dataValidation type="list" allowBlank="1" showDropDown="0" showInputMessage="1" showErrorMessage="1" sqref="AKT33">
      <formula1>"France,Inde,"</formula1>
    </dataValidation>
    <dataValidation type="list" allowBlank="1" showDropDown="0" showInputMessage="1" showErrorMessage="1" sqref="AKU33">
      <formula1>"France,Inde,"</formula1>
    </dataValidation>
    <dataValidation type="list" allowBlank="1" showDropDown="0" showInputMessage="1" showErrorMessage="1" sqref="AKV33">
      <formula1>"France,Inde,"</formula1>
    </dataValidation>
    <dataValidation type="list" allowBlank="1" showDropDown="0" showInputMessage="1" showErrorMessage="1" sqref="AKW33">
      <formula1>"France,Inde,"</formula1>
    </dataValidation>
    <dataValidation type="list" allowBlank="1" showDropDown="0" showInputMessage="1" showErrorMessage="1" sqref="AKX33">
      <formula1>"France,Inde,"</formula1>
    </dataValidation>
    <dataValidation type="list" allowBlank="1" showDropDown="0" showInputMessage="1" showErrorMessage="1" sqref="AKY33">
      <formula1>"France,Inde,"</formula1>
    </dataValidation>
    <dataValidation type="list" allowBlank="1" showDropDown="0" showInputMessage="1" showErrorMessage="1" sqref="AKZ33">
      <formula1>"France,Inde,"</formula1>
    </dataValidation>
    <dataValidation type="list" allowBlank="1" showDropDown="0" showInputMessage="1" showErrorMessage="1" sqref="ALA33">
      <formula1>"France,Inde,"</formula1>
    </dataValidation>
    <dataValidation type="list" allowBlank="1" showDropDown="0" showInputMessage="1" showErrorMessage="1" sqref="ALB33">
      <formula1>"France,Inde,"</formula1>
    </dataValidation>
    <dataValidation type="list" allowBlank="1" showDropDown="0" showInputMessage="1" showErrorMessage="1" sqref="ALC33">
      <formula1>"France,Inde,"</formula1>
    </dataValidation>
    <dataValidation type="list" allowBlank="1" showDropDown="0" showInputMessage="1" showErrorMessage="1" sqref="ALD33">
      <formula1>"France,Inde,"</formula1>
    </dataValidation>
    <dataValidation type="list" allowBlank="1" showDropDown="0" showInputMessage="1" showErrorMessage="1" sqref="ALE33">
      <formula1>"France,Inde,"</formula1>
    </dataValidation>
    <dataValidation type="list" allowBlank="1" showDropDown="0" showInputMessage="1" showErrorMessage="1" sqref="ALF33">
      <formula1>"France,Inde,"</formula1>
    </dataValidation>
    <dataValidation type="list" allowBlank="1" showDropDown="0" showInputMessage="1" showErrorMessage="1" sqref="ALG33">
      <formula1>"France,Inde,"</formula1>
    </dataValidation>
  </dataValidations>
  <printOptions gridLines="false" gridLinesSet="true" horizontalCentered="true"/>
  <pageMargins left="0.39370078740157" right="0.39370078740157" top="1.1811023622047" bottom="0.62992125984252" header="0.39370078740157" footer="0.31496062992126"/>
  <pageSetup paperSize="9" orientation="landscape" scale="100" fitToHeight="1" fitToWidth="1"/>
  <headerFooter differentOddEven="false" differentFirst="false" scaleWithDoc="true" alignWithMargins="false">
    <oddHeader>&amp;L&amp;"Arial,Normal"Sopra Group
Activité PREDICA&amp;C&amp;"Arial,Gras"&amp;12&amp;A&amp;R&lt;Version&gt;</oddHeader>
    <oddFooter>&amp;L&amp;"Arial,Normal"&amp;8&amp;F&amp;C&amp;"Arial,Normal"&amp;8&amp;P/&amp;N&amp;R&amp;"Arial,Normal"&amp;8&amp;D - &amp;T</oddFooter>
    <evenHeader/>
    <evenFooter/>
    <firstHeader/>
    <firstFooter/>
  </headerFooter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56"/>
  <sheetViews>
    <sheetView tabSelected="0" workbookViewId="0" zoomScale="85" zoomScaleNormal="85" showGridLines="true" showRowColHeaders="1">
      <pane xSplit="6" ySplit="17" topLeftCell="G18" activePane="bottomRight" state="frozen"/>
      <selection pane="topRight"/>
      <selection pane="bottomLeft"/>
      <selection pane="bottomRight" activeCell="G18" sqref="G18"/>
    </sheetView>
  </sheetViews>
  <sheetFormatPr defaultRowHeight="14.4" defaultColWidth="19" outlineLevelRow="0" outlineLevelCol="1"/>
  <cols>
    <col min="1" max="1" width="22" customWidth="true" style="0"/>
    <col min="2" max="2" width="45.7109375" customWidth="true" style="0"/>
    <col min="3" max="3" width="5.85546875" customWidth="true" style="7"/>
    <col min="4" max="4" width="12.85546875" customWidth="true" style="7"/>
    <col min="5" max="5" width="13.7109375" customWidth="true" style="0"/>
    <col min="6" max="6" width="11.5703125" customWidth="true" style="0"/>
    <col min="7" max="7" width="12.42578125" customWidth="true" style="0"/>
    <col min="8" max="8" width="5.28515625" customWidth="true" style="0"/>
    <col min="9" max="9" width="12.85546875" customWidth="true" style="0"/>
    <col min="10" max="10" width="5.28515625" customWidth="true" style="0"/>
    <col min="11" max="11" width="12.85546875" customWidth="true" style="0"/>
    <col min="12" max="12" width="7.140625" customWidth="true" style="0"/>
    <col min="13" max="13" width="12.85546875" customWidth="true" style="0"/>
    <col min="14" max="14" width="5.28515625" customWidth="true" style="0"/>
    <col min="15" max="15" width="11.42578125" customWidth="true" style="0"/>
    <col min="16" max="16" width="12.85546875" customWidth="true" style="0"/>
    <col min="17" max="17" width="11.5703125" customWidth="true" style="0"/>
    <col min="18" max="18" width="11.5703125" customWidth="true" style="0"/>
    <col min="19" max="19" width="13.42578125" customWidth="true" style="0"/>
    <col min="20" max="20" width="11.85546875" customWidth="true" style="0"/>
    <col min="21" max="21" width="7.7109375" customWidth="true" style="0"/>
    <col min="22" max="22" width="11.28515625" customWidth="true" style="0"/>
    <col min="23" max="23" width="11.5703125" customWidth="true" style="0"/>
    <col min="24" max="24" width="26.28515625" customWidth="true" style="0"/>
    <col min="25" max="25" width="33" customWidth="true" outlineLevel="1" style="0"/>
    <col min="26" max="26" width="8.7109375" customWidth="true" outlineLevel="1" style="0"/>
    <col min="27" max="27" width="19" outlineLevel="1" style="0"/>
    <col min="28" max="28" width="17.28515625" customWidth="true" style="0"/>
    <col min="29" max="29" width="8.140625" customWidth="true" style="0"/>
    <col min="30" max="30" width="36.28515625" customWidth="true" style="0"/>
    <col min="31" max="31" width="11.7109375" customWidth="true" style="0"/>
    <col min="32" max="32" width="11.140625" customWidth="true" style="0"/>
    <col min="33" max="33" width="6.85546875" customWidth="true" style="0"/>
    <col min="34" max="34" width="42.7109375" customWidth="true" style="0"/>
    <col min="35" max="35" width="11.7109375" customWidth="true" style="0"/>
    <col min="36" max="36" width="18.28515625" customWidth="true" style="0"/>
    <col min="37" max="37" width="20.140625" customWidth="true" style="0"/>
    <col min="38" max="38" width="13.85546875" customWidth="true" style="0"/>
    <col min="39" max="39" width="14.5703125" customWidth="true" style="0"/>
    <col min="40" max="40" width="13.7109375" customWidth="true" style="0"/>
    <col min="41" max="41" width="14.5703125" customWidth="true" style="0"/>
    <col min="42" max="42" width="11" customWidth="true" style="0"/>
  </cols>
  <sheetData>
    <row r="1" spans="1:42" customHeight="1" ht="26.25">
      <c r="A1" s="273" t="s">
        <v>140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</row>
    <row r="2" spans="1:42" customHeight="1" ht="15.75">
      <c r="P2" s="274"/>
      <c r="S2" s="274"/>
      <c r="AM2" s="274"/>
      <c r="AN2" s="275"/>
    </row>
    <row r="3" spans="1:42" customHeight="1" ht="30.75">
      <c r="A3" s="644" t="s">
        <v>141</v>
      </c>
      <c r="B3" s="645"/>
      <c r="C3" s="4"/>
      <c r="D3" s="4"/>
      <c r="E3" s="275" t="s">
        <v>142</v>
      </c>
      <c r="P3" s="274"/>
      <c r="S3" s="274"/>
      <c r="AL3" s="415" t="s">
        <v>143</v>
      </c>
      <c r="AM3" s="416"/>
      <c r="AN3" s="417" t="s">
        <v>144</v>
      </c>
    </row>
    <row r="4" spans="1:42">
      <c r="A4" s="646" t="s">
        <v>13</v>
      </c>
      <c r="B4" s="647"/>
      <c r="C4" s="5"/>
      <c r="D4" s="5"/>
      <c r="E4" s="402" t="str">
        <f>'Indian Project'!R6</f>
        <v>0</v>
      </c>
      <c r="F4" s="275"/>
      <c r="G4" s="275"/>
      <c r="H4" s="275"/>
      <c r="L4" s="275"/>
      <c r="P4" s="274"/>
      <c r="Q4" s="275"/>
      <c r="R4" s="275"/>
      <c r="S4" s="274"/>
      <c r="T4" s="274"/>
      <c r="U4" s="275"/>
      <c r="V4" s="275"/>
      <c r="W4" s="275"/>
      <c r="AH4" s="405" t="s">
        <v>27</v>
      </c>
      <c r="AI4" s="403" t="str">
        <f>'Indian Project'!R16</f>
        <v>0</v>
      </c>
      <c r="AJ4" s="404"/>
      <c r="AK4" s="407" t="s">
        <v>31</v>
      </c>
      <c r="AL4" s="412">
        <v>0.15</v>
      </c>
      <c r="AM4" s="414"/>
      <c r="AN4" s="413">
        <v>0.66</v>
      </c>
    </row>
    <row r="5" spans="1:42">
      <c r="A5" s="648"/>
      <c r="B5" s="649"/>
      <c r="C5" s="98"/>
      <c r="D5" s="98"/>
      <c r="E5" s="276"/>
      <c r="F5" s="275"/>
      <c r="G5" s="275"/>
      <c r="H5" s="275"/>
      <c r="L5" s="275"/>
      <c r="P5" s="274"/>
      <c r="Q5" s="275"/>
      <c r="R5" s="275"/>
      <c r="S5" s="274"/>
      <c r="T5" s="274"/>
      <c r="U5" s="275"/>
      <c r="V5" s="275"/>
      <c r="W5" s="275"/>
      <c r="AH5" s="405" t="s">
        <v>30</v>
      </c>
      <c r="AI5" s="403" t="str">
        <f>'Indian Project'!R18</f>
        <v>0</v>
      </c>
      <c r="AJ5" s="404"/>
      <c r="AK5" s="407" t="s">
        <v>45</v>
      </c>
      <c r="AL5" s="412">
        <v>0.18</v>
      </c>
      <c r="AM5" s="414"/>
      <c r="AN5" s="413">
        <v>0.63</v>
      </c>
    </row>
    <row r="6" spans="1:42" customHeight="1" ht="15.75">
      <c r="A6" s="648" t="s">
        <v>17</v>
      </c>
      <c r="B6" s="649"/>
      <c r="C6" s="97"/>
      <c r="D6" s="98"/>
      <c r="E6" s="229" t="str">
        <f>-AF6-AF7</f>
        <v>0</v>
      </c>
      <c r="F6" s="227" t="s">
        <v>145</v>
      </c>
      <c r="G6" s="227"/>
      <c r="H6" s="224"/>
      <c r="I6" s="224"/>
      <c r="J6" s="224"/>
      <c r="K6" s="227"/>
      <c r="L6" s="224"/>
      <c r="M6" s="224"/>
      <c r="N6" s="224"/>
      <c r="O6" s="226"/>
      <c r="P6" s="227"/>
      <c r="Q6" s="226"/>
      <c r="R6" s="226"/>
      <c r="S6" s="227"/>
      <c r="T6" s="224"/>
      <c r="U6" s="224"/>
      <c r="V6" s="224"/>
      <c r="W6" s="224"/>
      <c r="X6" s="224"/>
      <c r="Y6" s="224"/>
      <c r="Z6" s="225"/>
      <c r="AC6" s="478" t="s">
        <v>43</v>
      </c>
      <c r="AD6" s="479" t="s">
        <v>44</v>
      </c>
      <c r="AE6" s="479"/>
      <c r="AF6" s="230" t="str">
        <f>'Indian Project'!R12</f>
        <v>0</v>
      </c>
      <c r="AK6" s="407" t="s">
        <v>39</v>
      </c>
      <c r="AL6" s="412">
        <v>0.065</v>
      </c>
      <c r="AM6" s="414"/>
      <c r="AN6" s="413">
        <v>0.025</v>
      </c>
    </row>
    <row r="7" spans="1:42">
      <c r="A7" s="648" t="s">
        <v>18</v>
      </c>
      <c r="B7" s="649"/>
      <c r="C7" s="98"/>
      <c r="D7" s="98"/>
      <c r="E7" s="276" t="str">
        <f>E4+E6</f>
        <v>0</v>
      </c>
      <c r="F7" s="275"/>
      <c r="G7" s="275"/>
      <c r="H7" s="275"/>
      <c r="L7" s="275"/>
      <c r="P7" s="274"/>
      <c r="Q7" s="275"/>
      <c r="R7" s="275"/>
      <c r="S7" s="274"/>
      <c r="T7" s="274"/>
      <c r="U7" s="275"/>
      <c r="V7" s="275"/>
      <c r="W7" s="275"/>
      <c r="AC7" s="478" t="s">
        <v>104</v>
      </c>
      <c r="AD7" s="479" t="s">
        <v>105</v>
      </c>
      <c r="AE7" s="479"/>
      <c r="AF7" s="230" t="str">
        <f>'Indian Project'!R13</f>
        <v>0</v>
      </c>
      <c r="AK7" s="407" t="s">
        <v>146</v>
      </c>
      <c r="AL7" s="412">
        <v>0</v>
      </c>
      <c r="AM7" s="414"/>
      <c r="AN7" s="413">
        <v>0</v>
      </c>
    </row>
    <row r="8" spans="1:42">
      <c r="A8" s="648" t="s">
        <v>147</v>
      </c>
      <c r="B8" s="649"/>
      <c r="C8" s="98"/>
      <c r="D8" s="98"/>
      <c r="E8" s="276" t="str">
        <f>E7*0.9</f>
        <v>0</v>
      </c>
      <c r="F8" s="275"/>
      <c r="G8" s="275"/>
      <c r="H8" s="275"/>
      <c r="L8" s="275"/>
      <c r="P8" s="274"/>
      <c r="Q8" s="275"/>
      <c r="R8" s="275"/>
      <c r="S8" s="274"/>
      <c r="T8" s="274"/>
      <c r="U8" s="275"/>
      <c r="V8" s="275"/>
      <c r="W8" s="275"/>
      <c r="AN8" s="275"/>
    </row>
    <row r="9" spans="1:42" customHeight="1" ht="15.75">
      <c r="A9" s="653" t="s">
        <v>148</v>
      </c>
      <c r="B9" s="654"/>
      <c r="C9" s="6"/>
      <c r="D9" s="6"/>
      <c r="E9" s="277" t="str">
        <f>P38+T38</f>
        <v>0</v>
      </c>
      <c r="F9" s="275"/>
      <c r="G9" s="275"/>
      <c r="H9" s="275"/>
      <c r="L9" s="275"/>
      <c r="Q9" s="275"/>
      <c r="R9" s="275"/>
      <c r="U9" s="275"/>
      <c r="V9" s="275"/>
      <c r="W9" s="275"/>
      <c r="AN9" s="275"/>
    </row>
    <row r="10" spans="1:42" customHeight="1" ht="15.75" s="1" customFormat="1">
      <c r="A10" s="49"/>
      <c r="B10" s="50"/>
      <c r="C10" s="49"/>
      <c r="D10" s="32" t="str">
        <f>(E9+E41-E5+E43/2)/E4</f>
        <v>0</v>
      </c>
      <c r="E10" s="278" t="str">
        <f>E9/E8</f>
        <v>0</v>
      </c>
      <c r="F10" s="279"/>
      <c r="G10" s="650" t="s">
        <v>149</v>
      </c>
      <c r="H10" s="651"/>
      <c r="I10" s="651"/>
      <c r="J10" s="651"/>
      <c r="K10" s="651"/>
      <c r="L10" s="651"/>
      <c r="M10" s="651"/>
      <c r="N10" s="652"/>
      <c r="O10" s="650" t="s">
        <v>150</v>
      </c>
      <c r="P10" s="651"/>
      <c r="Q10" s="651"/>
      <c r="R10" s="651"/>
      <c r="S10" s="651"/>
      <c r="T10" s="651"/>
      <c r="U10" s="651"/>
      <c r="V10" s="652"/>
      <c r="W10" s="279"/>
    </row>
    <row r="11" spans="1:42" customHeight="1" ht="48.75">
      <c r="A11" s="51" t="s">
        <v>3</v>
      </c>
      <c r="B11" s="52" t="s">
        <v>151</v>
      </c>
      <c r="C11" s="52" t="s">
        <v>152</v>
      </c>
      <c r="D11" s="52" t="s">
        <v>153</v>
      </c>
      <c r="E11" s="222" t="s">
        <v>7</v>
      </c>
      <c r="F11" s="137" t="s">
        <v>154</v>
      </c>
      <c r="G11" s="53" t="s">
        <v>155</v>
      </c>
      <c r="H11" s="77" t="s">
        <v>156</v>
      </c>
      <c r="I11" s="54" t="s">
        <v>157</v>
      </c>
      <c r="J11" s="84" t="s">
        <v>156</v>
      </c>
      <c r="K11" s="53" t="s">
        <v>158</v>
      </c>
      <c r="L11" s="77" t="s">
        <v>156</v>
      </c>
      <c r="M11" s="54" t="s">
        <v>159</v>
      </c>
      <c r="N11" s="84" t="s">
        <v>156</v>
      </c>
      <c r="O11" s="53" t="s">
        <v>160</v>
      </c>
      <c r="P11" s="53" t="s">
        <v>161</v>
      </c>
      <c r="Q11" s="77" t="s">
        <v>156</v>
      </c>
      <c r="R11" s="137" t="s">
        <v>162</v>
      </c>
      <c r="S11" s="54" t="s">
        <v>163</v>
      </c>
      <c r="T11" s="54" t="s">
        <v>164</v>
      </c>
      <c r="U11" s="84" t="s">
        <v>156</v>
      </c>
      <c r="V11" s="137" t="s">
        <v>162</v>
      </c>
      <c r="W11" s="137" t="s">
        <v>165</v>
      </c>
      <c r="X11" s="444" t="s">
        <v>166</v>
      </c>
      <c r="AB11" s="482" t="s">
        <v>167</v>
      </c>
      <c r="AC11" s="614" t="s">
        <v>168</v>
      </c>
      <c r="AD11" s="614"/>
      <c r="AE11" s="53" t="s">
        <v>169</v>
      </c>
      <c r="AF11" s="53" t="s">
        <v>170</v>
      </c>
      <c r="AG11" s="613" t="s">
        <v>171</v>
      </c>
      <c r="AH11" s="613"/>
      <c r="AI11" s="54" t="s">
        <v>169</v>
      </c>
      <c r="AJ11" s="444" t="s">
        <v>170</v>
      </c>
    </row>
    <row r="12" spans="1:42">
      <c r="A12" s="610" t="s">
        <v>10</v>
      </c>
      <c r="B12" s="39" t="s">
        <v>172</v>
      </c>
      <c r="C12" s="15">
        <v>1</v>
      </c>
      <c r="D12" s="42">
        <v>0</v>
      </c>
      <c r="E12" s="16" t="s">
        <v>173</v>
      </c>
      <c r="F12" s="134"/>
      <c r="G12" s="94"/>
      <c r="H12" s="128"/>
      <c r="I12" s="94"/>
      <c r="J12" s="128"/>
      <c r="K12" s="94"/>
      <c r="L12" s="128"/>
      <c r="M12" s="94"/>
      <c r="N12" s="128"/>
      <c r="O12" s="55"/>
      <c r="P12" s="55"/>
      <c r="Q12" s="128"/>
      <c r="R12" s="134"/>
      <c r="S12" s="55"/>
      <c r="T12" s="55"/>
      <c r="U12" s="128"/>
      <c r="V12" s="134"/>
      <c r="W12" s="134"/>
      <c r="X12" s="445"/>
      <c r="Y12" s="281"/>
      <c r="AB12" s="619" t="s">
        <v>174</v>
      </c>
      <c r="AC12" s="322" t="s">
        <v>65</v>
      </c>
      <c r="AD12" s="323" t="s">
        <v>66</v>
      </c>
      <c r="AE12" s="324" t="str">
        <f>($O$14+$O$15+$O$16+$O$17+$O$18+$O$19+$O$23+$O$26+$O$24)*60%</f>
        <v>0</v>
      </c>
      <c r="AF12" s="324" t="str">
        <f>($P$14+$P$15+$P$16+$P$17+$P$18++$P$19+$P$23+$P$26+$P$24)*60%</f>
        <v>0</v>
      </c>
      <c r="AG12" s="322" t="s">
        <v>67</v>
      </c>
      <c r="AH12" s="323" t="s">
        <v>68</v>
      </c>
      <c r="AI12" s="365" t="str">
        <f>$S$14</f>
        <v>0</v>
      </c>
      <c r="AJ12" s="365" t="str">
        <f>$T$14</f>
        <v>0</v>
      </c>
    </row>
    <row r="13" spans="1:42">
      <c r="A13" s="611"/>
      <c r="B13" s="70" t="s">
        <v>175</v>
      </c>
      <c r="C13" s="8" t="s">
        <v>176</v>
      </c>
      <c r="D13" s="43">
        <v>0</v>
      </c>
      <c r="E13" s="2" t="s">
        <v>173</v>
      </c>
      <c r="F13" s="129"/>
      <c r="G13" s="9"/>
      <c r="H13" s="78"/>
      <c r="I13" s="9"/>
      <c r="J13" s="78"/>
      <c r="K13" s="9"/>
      <c r="L13" s="78"/>
      <c r="M13" s="9"/>
      <c r="N13" s="78"/>
      <c r="O13" s="45"/>
      <c r="P13" s="45"/>
      <c r="Q13" s="78"/>
      <c r="R13" s="129"/>
      <c r="S13" s="45"/>
      <c r="T13" s="45"/>
      <c r="U13" s="78"/>
      <c r="V13" s="129"/>
      <c r="W13" s="129"/>
      <c r="X13" s="446"/>
      <c r="Y13" s="281"/>
      <c r="AB13" s="619"/>
      <c r="AC13" s="322" t="s">
        <v>69</v>
      </c>
      <c r="AD13" s="323" t="s">
        <v>70</v>
      </c>
      <c r="AE13" s="324" t="str">
        <f>($O$14+$O$15+$O$16+$O$17+$O$18+$O$23+$O$26+$O$24)*15%</f>
        <v>0</v>
      </c>
      <c r="AF13" s="324" t="str">
        <f>($P$14+$P$15+$P$16+$P$17+$P$18+$P$23+$P$26+$P$24)*15%</f>
        <v>0</v>
      </c>
      <c r="AG13" s="322" t="s">
        <v>71</v>
      </c>
      <c r="AH13" s="323" t="s">
        <v>72</v>
      </c>
      <c r="AI13" s="365" t="str">
        <f>$S$15</f>
        <v>0</v>
      </c>
      <c r="AJ13" s="365" t="str">
        <f>$T$15</f>
        <v>0</v>
      </c>
    </row>
    <row r="14" spans="1:42">
      <c r="A14" s="611"/>
      <c r="B14" s="70" t="s">
        <v>177</v>
      </c>
      <c r="C14" s="8">
        <v>2</v>
      </c>
      <c r="D14" s="43">
        <v>0.0045</v>
      </c>
      <c r="E14" s="2" t="str">
        <f>E$7*D14</f>
        <v>0</v>
      </c>
      <c r="F14" s="130" t="str">
        <f>E14/$E$22</f>
        <v>0</v>
      </c>
      <c r="G14" s="13">
        <v>0.0045</v>
      </c>
      <c r="H14" s="79" t="str">
        <f>G14/$G$38</f>
        <v>0</v>
      </c>
      <c r="I14" s="9"/>
      <c r="J14" s="9"/>
      <c r="K14" s="13">
        <v>0.0032</v>
      </c>
      <c r="L14" s="117" t="str">
        <f>K14/$K$38</f>
        <v>0</v>
      </c>
      <c r="M14" s="14">
        <v>0.001</v>
      </c>
      <c r="N14" s="85" t="str">
        <f>M14/$M$38</f>
        <v>0</v>
      </c>
      <c r="O14" s="46" t="str">
        <f>G14*$E$7</f>
        <v>0</v>
      </c>
      <c r="P14" s="46" t="str">
        <f>K14*$E$7+O14</f>
        <v>0</v>
      </c>
      <c r="Q14" s="79" t="str">
        <f>P14/$P$38</f>
        <v>0</v>
      </c>
      <c r="R14" s="130" t="str">
        <f>($R$22/$Q$22)*Q14</f>
        <v>0</v>
      </c>
      <c r="S14" s="45"/>
      <c r="T14" s="47" t="str">
        <f>M14*$E$7+S14</f>
        <v>0</v>
      </c>
      <c r="U14" s="85" t="str">
        <f>T14/$T$38</f>
        <v>0</v>
      </c>
      <c r="V14" s="130" t="str">
        <f>($V$22/$U$22)*U14</f>
        <v>0</v>
      </c>
      <c r="W14" s="130" t="str">
        <f>(P14+T14)/($P$22+$T$22)</f>
        <v>0</v>
      </c>
      <c r="X14" s="446"/>
      <c r="Y14" s="281"/>
      <c r="AB14" s="619"/>
      <c r="AC14" s="322" t="s">
        <v>73</v>
      </c>
      <c r="AD14" s="323" t="s">
        <v>74</v>
      </c>
      <c r="AE14" s="324" t="str">
        <f>($O$14+$O$15+$O$16+$O$17+$O$18+$O$23+$O$26+$O$24)*25%+$O$19*40%</f>
        <v>0</v>
      </c>
      <c r="AF14" s="324" t="str">
        <f>($P$14+$P$15+$P$16+$P$17+$P$18+$P$23+$P$26+$P$24)*25%+$P$19*40%</f>
        <v>0</v>
      </c>
      <c r="AG14" s="322" t="s">
        <v>75</v>
      </c>
      <c r="AH14" s="323" t="s">
        <v>76</v>
      </c>
      <c r="AI14" s="365" t="str">
        <f>$S$18</f>
        <v>0</v>
      </c>
      <c r="AJ14" s="365" t="str">
        <f>$T$18</f>
        <v>0</v>
      </c>
    </row>
    <row r="15" spans="1:42" customHeight="1" ht="48">
      <c r="A15" s="611"/>
      <c r="B15" s="70" t="s">
        <v>178</v>
      </c>
      <c r="C15" s="8">
        <v>3</v>
      </c>
      <c r="D15" s="43">
        <v>0.0045</v>
      </c>
      <c r="E15" s="2" t="str">
        <f>E$7*D15</f>
        <v>0</v>
      </c>
      <c r="F15" s="130" t="str">
        <f>E15/$E$22</f>
        <v>0</v>
      </c>
      <c r="G15" s="45"/>
      <c r="H15" s="80"/>
      <c r="I15" s="14">
        <v>0.0045</v>
      </c>
      <c r="J15" s="85" t="str">
        <f>I15/$I$38</f>
        <v>0</v>
      </c>
      <c r="K15" s="13">
        <v>0.004</v>
      </c>
      <c r="L15" s="117" t="str">
        <f>K15/$K$38</f>
        <v>0</v>
      </c>
      <c r="M15" s="14">
        <v>0.0045</v>
      </c>
      <c r="N15" s="85" t="str">
        <f>M15/$M$38</f>
        <v>0</v>
      </c>
      <c r="O15" s="45"/>
      <c r="P15" s="46" t="str">
        <f>K15*$E$7+O15</f>
        <v>0</v>
      </c>
      <c r="Q15" s="79" t="str">
        <f>P15/$P$38</f>
        <v>0</v>
      </c>
      <c r="R15" s="130" t="str">
        <f>($R$22/$Q$22)*Q15</f>
        <v>0</v>
      </c>
      <c r="S15" s="47" t="str">
        <f>I15*$E$7</f>
        <v>0</v>
      </c>
      <c r="T15" s="47" t="str">
        <f>M15*$E$7+S15</f>
        <v>0</v>
      </c>
      <c r="U15" s="85" t="str">
        <f>T15/$T$38</f>
        <v>0</v>
      </c>
      <c r="V15" s="130" t="str">
        <f>($V$22/$U$22)*U15</f>
        <v>0</v>
      </c>
      <c r="W15" s="130" t="str">
        <f>(P15+T15)/($P$22+$T$22)</f>
        <v>0</v>
      </c>
      <c r="X15" s="447"/>
      <c r="Y15" s="281"/>
      <c r="AB15" s="619"/>
      <c r="AC15" s="322"/>
      <c r="AD15" s="323"/>
      <c r="AE15" s="324"/>
      <c r="AF15" s="324"/>
      <c r="AG15" s="322" t="s">
        <v>77</v>
      </c>
      <c r="AH15" s="323" t="s">
        <v>78</v>
      </c>
      <c r="AI15" s="365" t="str">
        <f>$S$26+$S$24</f>
        <v>0</v>
      </c>
      <c r="AJ15" s="365" t="str">
        <f>$T$26+$T$24</f>
        <v>0</v>
      </c>
    </row>
    <row r="16" spans="1:42" customHeight="1" ht="24.75">
      <c r="A16" s="611"/>
      <c r="B16" s="70" t="s">
        <v>179</v>
      </c>
      <c r="C16" s="8">
        <v>4</v>
      </c>
      <c r="D16" s="43">
        <v>0.0018</v>
      </c>
      <c r="E16" s="2" t="str">
        <f>E$7*D16</f>
        <v>0</v>
      </c>
      <c r="F16" s="130" t="str">
        <f>E16/$E$22</f>
        <v>0</v>
      </c>
      <c r="G16" s="13">
        <v>0.0018</v>
      </c>
      <c r="H16" s="79" t="str">
        <f>G16/$G$38</f>
        <v>0</v>
      </c>
      <c r="I16" s="48"/>
      <c r="J16" s="9"/>
      <c r="K16" s="13" t="str">
        <f>0.12%+0.08%</f>
        <v>0</v>
      </c>
      <c r="L16" s="117" t="str">
        <f>K16/$K$38</f>
        <v>0</v>
      </c>
      <c r="M16" s="48"/>
      <c r="N16" s="9"/>
      <c r="O16" s="46" t="str">
        <f>G16*$E$7</f>
        <v>0</v>
      </c>
      <c r="P16" s="46" t="str">
        <f>K16*$E$7+O16</f>
        <v>0</v>
      </c>
      <c r="Q16" s="79" t="str">
        <f>P16/$P$38</f>
        <v>0</v>
      </c>
      <c r="R16" s="130" t="str">
        <f>($R$22/$Q$22)*Q16</f>
        <v>0</v>
      </c>
      <c r="S16" s="45"/>
      <c r="T16" s="45"/>
      <c r="U16" s="45"/>
      <c r="V16" s="144"/>
      <c r="W16" s="130" t="str">
        <f>(P16+T16)/($P$22+$T$22)</f>
        <v>0</v>
      </c>
      <c r="X16" s="446"/>
      <c r="Y16" s="281"/>
      <c r="AB16" s="620"/>
      <c r="AC16" s="325"/>
      <c r="AD16" s="326"/>
      <c r="AE16" s="362"/>
      <c r="AF16" s="362"/>
      <c r="AG16" s="325" t="s">
        <v>79</v>
      </c>
      <c r="AH16" s="326" t="s">
        <v>80</v>
      </c>
      <c r="AI16" s="366" t="str">
        <f>$S$19</f>
        <v>0</v>
      </c>
      <c r="AJ16" s="366" t="str">
        <f>$T$19</f>
        <v>0</v>
      </c>
    </row>
    <row r="17" spans="1:42">
      <c r="A17" s="611"/>
      <c r="B17" s="70" t="s">
        <v>180</v>
      </c>
      <c r="C17" s="8">
        <v>4</v>
      </c>
      <c r="D17" s="43">
        <v>0.0067</v>
      </c>
      <c r="E17" s="2" t="str">
        <f>E$7*D17</f>
        <v>0</v>
      </c>
      <c r="F17" s="130" t="str">
        <f>E17/$E$22</f>
        <v>0</v>
      </c>
      <c r="G17" s="13">
        <v>0.0067</v>
      </c>
      <c r="H17" s="79" t="str">
        <f>G17/$G$38</f>
        <v>0</v>
      </c>
      <c r="I17" s="48"/>
      <c r="J17" s="9"/>
      <c r="K17" s="13" t="str">
        <f>0.236%-0.036%</f>
        <v>0</v>
      </c>
      <c r="L17" s="117" t="str">
        <f>K17/$K$38</f>
        <v>0</v>
      </c>
      <c r="M17" s="48"/>
      <c r="N17" s="9"/>
      <c r="O17" s="46" t="str">
        <f>G17*$E$7</f>
        <v>0</v>
      </c>
      <c r="P17" s="46" t="str">
        <f>K17*$E$7+O17</f>
        <v>0</v>
      </c>
      <c r="Q17" s="79" t="str">
        <f>P17/$P$38</f>
        <v>0</v>
      </c>
      <c r="R17" s="130" t="str">
        <f>($R$22/$Q$22)*Q17</f>
        <v>0</v>
      </c>
      <c r="S17" s="45"/>
      <c r="T17" s="45"/>
      <c r="U17" s="45"/>
      <c r="V17" s="144"/>
      <c r="W17" s="130" t="str">
        <f>(P17+T17)/($P$22+$T$22)</f>
        <v>0</v>
      </c>
      <c r="X17" s="448"/>
      <c r="Y17" s="281"/>
      <c r="AB17" s="657" t="s">
        <v>181</v>
      </c>
      <c r="AC17" s="327" t="s">
        <v>81</v>
      </c>
      <c r="AD17" s="328" t="s">
        <v>82</v>
      </c>
      <c r="AE17" s="378" t="str">
        <f>$O$25</f>
        <v>0</v>
      </c>
      <c r="AF17" s="378" t="str">
        <f>$P$25</f>
        <v>0</v>
      </c>
      <c r="AG17" s="327"/>
      <c r="AH17" s="328"/>
      <c r="AI17" s="378"/>
      <c r="AJ17" s="329"/>
    </row>
    <row r="18" spans="1:42" customHeight="1" ht="15">
      <c r="A18" s="611"/>
      <c r="B18" s="70" t="s">
        <v>182</v>
      </c>
      <c r="C18" s="8">
        <v>5</v>
      </c>
      <c r="D18" s="43">
        <v>0.023</v>
      </c>
      <c r="E18" s="2" t="str">
        <f>E$7*D18</f>
        <v>0</v>
      </c>
      <c r="F18" s="130" t="str">
        <f>E18/$E$22</f>
        <v>0</v>
      </c>
      <c r="G18" s="9"/>
      <c r="H18" s="78"/>
      <c r="I18" s="99">
        <v>0.0185</v>
      </c>
      <c r="J18" s="85" t="str">
        <f>I18/$I$38</f>
        <v>0</v>
      </c>
      <c r="K18" s="13" t="str">
        <f>0.32%+0.03%</f>
        <v>0</v>
      </c>
      <c r="L18" s="117" t="str">
        <f>K18/$K$38</f>
        <v>0</v>
      </c>
      <c r="M18" s="99" t="str">
        <f>2.5%-1.5%</f>
        <v>0</v>
      </c>
      <c r="N18" s="85" t="str">
        <f>M18/$M$38</f>
        <v>0</v>
      </c>
      <c r="O18" s="46" t="str">
        <f>G18*$E$7</f>
        <v>0</v>
      </c>
      <c r="P18" s="46" t="str">
        <f>K18*$E$7+O18</f>
        <v>0</v>
      </c>
      <c r="Q18" s="79" t="str">
        <f>P18/$P$38</f>
        <v>0</v>
      </c>
      <c r="R18" s="130" t="str">
        <f>($R$22/$Q$22)*Q18</f>
        <v>0</v>
      </c>
      <c r="S18" s="47" t="str">
        <f>I18*$E$7</f>
        <v>0</v>
      </c>
      <c r="T18" s="47" t="str">
        <f>M18*$E$7+S18</f>
        <v>0</v>
      </c>
      <c r="U18" s="85" t="str">
        <f>T18/$T$38</f>
        <v>0</v>
      </c>
      <c r="V18" s="130" t="str">
        <f>($V$22/$U$22)*U18</f>
        <v>0</v>
      </c>
      <c r="W18" s="130" t="str">
        <f>(P18+T18)/($P$22+$T$22)</f>
        <v>0</v>
      </c>
      <c r="X18" s="447"/>
      <c r="Y18" s="281"/>
      <c r="AB18" s="658"/>
      <c r="AC18" s="330" t="s">
        <v>85</v>
      </c>
      <c r="AD18" s="331" t="s">
        <v>86</v>
      </c>
      <c r="AE18" s="379" t="str">
        <f>$O$22*30%</f>
        <v>0</v>
      </c>
      <c r="AF18" s="379" t="str">
        <f>$P$22*30%</f>
        <v>0</v>
      </c>
      <c r="AG18" s="330" t="s">
        <v>83</v>
      </c>
      <c r="AH18" s="331" t="s">
        <v>84</v>
      </c>
      <c r="AI18" s="379" t="str">
        <f>$S$25</f>
        <v>0</v>
      </c>
      <c r="AJ18" s="367" t="str">
        <f>$T$25</f>
        <v>0</v>
      </c>
    </row>
    <row r="19" spans="1:42" customHeight="1" ht="15.75">
      <c r="A19" s="612"/>
      <c r="B19" s="40" t="s">
        <v>183</v>
      </c>
      <c r="C19" s="17">
        <v>6</v>
      </c>
      <c r="D19" s="56">
        <v>0.027</v>
      </c>
      <c r="E19" s="142" t="str">
        <f>E$7*D19</f>
        <v>0</v>
      </c>
      <c r="F19" s="131" t="str">
        <f>E19/$E$22</f>
        <v>0</v>
      </c>
      <c r="G19" s="18">
        <v>0.0045</v>
      </c>
      <c r="H19" s="82" t="str">
        <f>G19/$G$38</f>
        <v>0</v>
      </c>
      <c r="I19" s="26">
        <v>0.018</v>
      </c>
      <c r="J19" s="87" t="str">
        <f>I19/$I$38</f>
        <v>0</v>
      </c>
      <c r="K19" s="18" t="str">
        <f>0.32%+0.03%</f>
        <v>0</v>
      </c>
      <c r="L19" s="117" t="str">
        <f>K19/$K$38</f>
        <v>0</v>
      </c>
      <c r="M19" s="26" t="str">
        <f>4%-1%</f>
        <v>0</v>
      </c>
      <c r="N19" s="87" t="str">
        <f>M19/$M$38</f>
        <v>0</v>
      </c>
      <c r="O19" s="57" t="str">
        <f>G19*$E$7</f>
        <v>0</v>
      </c>
      <c r="P19" s="57" t="str">
        <f>K19*$E$7+O19</f>
        <v>0</v>
      </c>
      <c r="Q19" s="82" t="str">
        <f>P19/$P$38</f>
        <v>0</v>
      </c>
      <c r="R19" s="131" t="str">
        <f>($R$22/$Q$22)*Q19</f>
        <v>0</v>
      </c>
      <c r="S19" s="58" t="str">
        <f>I19*$E$7</f>
        <v>0</v>
      </c>
      <c r="T19" s="58" t="str">
        <f>M19*$E$7+S19</f>
        <v>0</v>
      </c>
      <c r="U19" s="87" t="str">
        <f>T19/$T$38</f>
        <v>0</v>
      </c>
      <c r="V19" s="145" t="str">
        <f>($V$22/$U$22)*U19</f>
        <v>0</v>
      </c>
      <c r="W19" s="131" t="str">
        <f>(P19+T19)/($P$22+$T$22)</f>
        <v>0</v>
      </c>
      <c r="X19" s="449"/>
      <c r="Y19" s="281"/>
      <c r="AB19" s="658"/>
      <c r="AC19" s="330" t="s">
        <v>89</v>
      </c>
      <c r="AD19" s="331" t="s">
        <v>90</v>
      </c>
      <c r="AE19" s="379" t="str">
        <f>$O$20+$O$21</f>
        <v>0</v>
      </c>
      <c r="AF19" s="379" t="str">
        <f>$P$20+$P$21</f>
        <v>0</v>
      </c>
      <c r="AG19" s="330" t="s">
        <v>87</v>
      </c>
      <c r="AH19" s="331" t="s">
        <v>88</v>
      </c>
      <c r="AI19" s="379" t="str">
        <f>$S$22</f>
        <v>0</v>
      </c>
      <c r="AJ19" s="367" t="str">
        <f>$T$22</f>
        <v>0</v>
      </c>
    </row>
    <row r="20" spans="1:42" customHeight="1" ht="24.75">
      <c r="A20" s="617" t="s">
        <v>184</v>
      </c>
      <c r="B20" s="39" t="s">
        <v>185</v>
      </c>
      <c r="C20" s="15">
        <v>7</v>
      </c>
      <c r="D20" s="42">
        <v>0</v>
      </c>
      <c r="E20" s="16" t="str">
        <f>E$7*D20</f>
        <v>0</v>
      </c>
      <c r="F20" s="135" t="str">
        <f>E20/$E$22</f>
        <v>0</v>
      </c>
      <c r="G20" s="286" t="str">
        <f>0.9%-0.55%</f>
        <v>0</v>
      </c>
      <c r="H20" s="81" t="str">
        <f>G20/$G$38</f>
        <v>0</v>
      </c>
      <c r="I20" s="94"/>
      <c r="J20" s="9"/>
      <c r="K20" s="286" t="str">
        <f>0%+0.1%</f>
        <v>0</v>
      </c>
      <c r="L20" s="383" t="str">
        <f>K20/$K$38</f>
        <v>0</v>
      </c>
      <c r="M20" s="94"/>
      <c r="N20" s="94"/>
      <c r="O20" s="46" t="str">
        <f>G20*$E$7</f>
        <v>0</v>
      </c>
      <c r="P20" s="100" t="str">
        <f>K20*$E$7+O20</f>
        <v>0</v>
      </c>
      <c r="Q20" s="81" t="str">
        <f>P20/$P$38</f>
        <v>0</v>
      </c>
      <c r="R20" s="135" t="str">
        <f>($R$22/$Q$22)*Q20</f>
        <v>0</v>
      </c>
      <c r="S20" s="55"/>
      <c r="T20" s="102"/>
      <c r="U20" s="95"/>
      <c r="V20" s="135"/>
      <c r="W20" s="135" t="str">
        <f>(P20+T20)/($P$22+$T$22)</f>
        <v>0</v>
      </c>
      <c r="X20" s="436"/>
      <c r="Y20" s="281"/>
      <c r="AB20" s="659"/>
      <c r="AC20" s="332" t="s">
        <v>91</v>
      </c>
      <c r="AD20" s="333" t="s">
        <v>92</v>
      </c>
      <c r="AE20" s="380" t="str">
        <f>$O$22*70%</f>
        <v>0</v>
      </c>
      <c r="AF20" s="380" t="str">
        <f>$P$22*70%</f>
        <v>0</v>
      </c>
      <c r="AG20" s="332"/>
      <c r="AH20" s="333"/>
      <c r="AI20" s="380"/>
      <c r="AJ20" s="368"/>
    </row>
    <row r="21" spans="1:42" customHeight="1" ht="24.75">
      <c r="A21" s="618"/>
      <c r="B21" s="40" t="s">
        <v>186</v>
      </c>
      <c r="C21" s="17">
        <v>7</v>
      </c>
      <c r="D21" s="56">
        <v>0.0045</v>
      </c>
      <c r="E21" s="142" t="str">
        <f>E$7*D21</f>
        <v>0</v>
      </c>
      <c r="F21" s="131" t="str">
        <f>E21/$E$22</f>
        <v>0</v>
      </c>
      <c r="G21" s="563" t="str">
        <f>0.45%-0.25%</f>
        <v>0</v>
      </c>
      <c r="H21" s="82" t="str">
        <f>G21/$G$38</f>
        <v>0</v>
      </c>
      <c r="I21" s="37"/>
      <c r="J21" s="37"/>
      <c r="K21" s="563" t="str">
        <f>0%+0.1%</f>
        <v>0</v>
      </c>
      <c r="L21" s="118" t="str">
        <f>K21/$K$38</f>
        <v>0</v>
      </c>
      <c r="M21" s="37"/>
      <c r="N21" s="37"/>
      <c r="O21" s="57" t="str">
        <f>G21*$E$7</f>
        <v>0</v>
      </c>
      <c r="P21" s="57" t="str">
        <f>K21*$E$7+O21</f>
        <v>0</v>
      </c>
      <c r="Q21" s="82" t="str">
        <f>P21/$P$38</f>
        <v>0</v>
      </c>
      <c r="R21" s="131" t="str">
        <f>($R$22/$Q$22)*Q21</f>
        <v>0</v>
      </c>
      <c r="S21" s="138"/>
      <c r="T21" s="37"/>
      <c r="U21" s="37"/>
      <c r="V21" s="146"/>
      <c r="W21" s="131" t="str">
        <f>(P21+T21)/($P$22+$T$22)</f>
        <v>0</v>
      </c>
      <c r="X21" s="450"/>
      <c r="Y21" s="281"/>
      <c r="AB21" s="615" t="s">
        <v>187</v>
      </c>
      <c r="AC21" s="345" t="s">
        <v>93</v>
      </c>
      <c r="AD21" s="346" t="s">
        <v>94</v>
      </c>
      <c r="AE21" s="348" t="str">
        <f>$O$27*25%+AL25</f>
        <v>0</v>
      </c>
      <c r="AF21" s="348" t="str">
        <f>$P$27*25%+AM25</f>
        <v>0</v>
      </c>
      <c r="AG21" s="345" t="s">
        <v>95</v>
      </c>
      <c r="AH21" s="346" t="s">
        <v>96</v>
      </c>
      <c r="AI21" s="347" t="str">
        <f>$S$27*70%+AN25</f>
        <v>0</v>
      </c>
      <c r="AJ21" s="347" t="str">
        <f>$T$27*70%+AO25</f>
        <v>0</v>
      </c>
    </row>
    <row r="22" spans="1:42" customHeight="1" ht="15.75">
      <c r="A22" s="24" t="s">
        <v>188</v>
      </c>
      <c r="B22" s="41" t="s">
        <v>189</v>
      </c>
      <c r="C22" s="19">
        <v>8</v>
      </c>
      <c r="D22" s="44" t="str">
        <f>32.4%-0.32%</f>
        <v>0</v>
      </c>
      <c r="E22" s="22" t="str">
        <f>E$7*D22</f>
        <v>0</v>
      </c>
      <c r="F22" s="132" t="str">
        <f>E22/$E$22</f>
        <v>0</v>
      </c>
      <c r="G22" s="440" t="str">
        <f>4%+0.8%</f>
        <v>0</v>
      </c>
      <c r="H22" s="83" t="str">
        <f>G22/$G$38</f>
        <v>0</v>
      </c>
      <c r="I22" s="23" t="str">
        <f>25.92%+1%</f>
        <v>0</v>
      </c>
      <c r="J22" s="85" t="str">
        <f>I22/$I$38</f>
        <v>0</v>
      </c>
      <c r="K22" s="563" t="str">
        <f>1%-0.2%</f>
        <v>0</v>
      </c>
      <c r="L22" s="119" t="str">
        <f>K22/$K$38</f>
        <v>0</v>
      </c>
      <c r="M22" s="23" t="str">
        <f>1.75%+4.25%</f>
        <v>0</v>
      </c>
      <c r="N22" s="85" t="str">
        <f>M22/$M$38</f>
        <v>0</v>
      </c>
      <c r="O22" s="61" t="str">
        <f>G22*$E$7</f>
        <v>0</v>
      </c>
      <c r="P22" s="61" t="str">
        <f>K22*$E$7+O22</f>
        <v>0</v>
      </c>
      <c r="Q22" s="83" t="str">
        <f>P22/$P$38</f>
        <v>0</v>
      </c>
      <c r="R22" s="132">
        <v>1</v>
      </c>
      <c r="S22" s="62" t="str">
        <f>I22*$E$7</f>
        <v>0</v>
      </c>
      <c r="T22" s="62" t="str">
        <f>M22*$E$7+S22</f>
        <v>0</v>
      </c>
      <c r="U22" s="85" t="str">
        <f>T22/$T$38</f>
        <v>0</v>
      </c>
      <c r="V22" s="147">
        <v>1</v>
      </c>
      <c r="W22" s="132" t="str">
        <f>(P22+T22)/($P$22+$T$22)</f>
        <v>0</v>
      </c>
      <c r="X22" s="451"/>
      <c r="Y22" s="281"/>
      <c r="AB22" s="615"/>
      <c r="AC22" s="345" t="s">
        <v>98</v>
      </c>
      <c r="AD22" s="346" t="s">
        <v>99</v>
      </c>
      <c r="AE22" s="348" t="str">
        <f>$O$27*20%+AL27</f>
        <v>0</v>
      </c>
      <c r="AF22" s="348" t="str">
        <f>$P$27*20%+AM27</f>
        <v>0</v>
      </c>
      <c r="AG22" s="345"/>
      <c r="AH22" s="346"/>
      <c r="AI22" s="347"/>
      <c r="AJ22" s="347"/>
    </row>
    <row r="23" spans="1:42">
      <c r="A23" s="655" t="s">
        <v>190</v>
      </c>
      <c r="B23" s="39" t="s">
        <v>191</v>
      </c>
      <c r="C23" s="15">
        <v>9</v>
      </c>
      <c r="D23" s="42">
        <v>0.0035</v>
      </c>
      <c r="E23" s="16" t="str">
        <f>E$7*D23</f>
        <v>0</v>
      </c>
      <c r="F23" s="382" t="str">
        <f>E23/$E$22</f>
        <v>0</v>
      </c>
      <c r="G23" s="21" t="str">
        <f>0.35%</f>
        <v>0</v>
      </c>
      <c r="H23" s="317" t="str">
        <f>G23/$G$38</f>
        <v>0</v>
      </c>
      <c r="I23" s="63"/>
      <c r="J23" s="63"/>
      <c r="K23" s="21">
        <v>0</v>
      </c>
      <c r="L23" s="383" t="str">
        <f>K23/$K$38</f>
        <v>0</v>
      </c>
      <c r="M23" s="63"/>
      <c r="N23" s="63"/>
      <c r="O23" s="59" t="str">
        <f>G23*$E$7</f>
        <v>0</v>
      </c>
      <c r="P23" s="59" t="str">
        <f>K23*$E$7+O23</f>
        <v>0</v>
      </c>
      <c r="Q23" s="317" t="str">
        <f>P23/$P$38</f>
        <v>0</v>
      </c>
      <c r="R23" s="382" t="str">
        <f>($R$22/$Q$22)*Q23</f>
        <v>0</v>
      </c>
      <c r="S23" s="55"/>
      <c r="T23" s="55"/>
      <c r="U23" s="55"/>
      <c r="V23" s="148"/>
      <c r="W23" s="382" t="str">
        <f>(P23+T23)/($P$22+$T$22)</f>
        <v>0</v>
      </c>
      <c r="X23" s="452"/>
      <c r="Y23" s="281"/>
      <c r="AB23" s="615"/>
      <c r="AC23" s="345" t="s">
        <v>102</v>
      </c>
      <c r="AD23" s="346" t="s">
        <v>103</v>
      </c>
      <c r="AE23" s="348" t="str">
        <f>$O$27*55%+AL26</f>
        <v>0</v>
      </c>
      <c r="AF23" s="348" t="str">
        <f>$P$27*55%+AM26</f>
        <v>0</v>
      </c>
      <c r="AG23" s="345" t="s">
        <v>100</v>
      </c>
      <c r="AH23" s="346" t="s">
        <v>101</v>
      </c>
      <c r="AI23" s="347" t="str">
        <f>$S$27*30%+AN27</f>
        <v>0</v>
      </c>
      <c r="AJ23" s="347" t="str">
        <f>$T$27*30%+AO27</f>
        <v>0</v>
      </c>
      <c r="AL23" s="640" t="s">
        <v>192</v>
      </c>
      <c r="AM23" s="641"/>
      <c r="AN23" s="642" t="s">
        <v>193</v>
      </c>
      <c r="AO23" s="643"/>
    </row>
    <row r="24" spans="1:42" customHeight="1" ht="30.75">
      <c r="A24" s="656"/>
      <c r="B24" s="40" t="s">
        <v>194</v>
      </c>
      <c r="C24" s="17">
        <v>10</v>
      </c>
      <c r="D24" s="56">
        <v>0.01</v>
      </c>
      <c r="E24" s="142" t="str">
        <f>E$7*D24</f>
        <v>0</v>
      </c>
      <c r="F24" s="145" t="str">
        <f>E24/$E$22</f>
        <v>0</v>
      </c>
      <c r="G24" s="37"/>
      <c r="H24" s="127"/>
      <c r="I24" s="26">
        <v>0.01</v>
      </c>
      <c r="J24" s="87" t="str">
        <f>I24/$I$38</f>
        <v>0</v>
      </c>
      <c r="K24" s="18" t="str">
        <f>0.4%</f>
        <v>0</v>
      </c>
      <c r="L24" s="118" t="str">
        <f>K24/$K$38</f>
        <v>0</v>
      </c>
      <c r="M24" s="26">
        <v>0</v>
      </c>
      <c r="N24" s="87" t="str">
        <f>M24/$M$38</f>
        <v>0</v>
      </c>
      <c r="O24" s="37"/>
      <c r="P24" s="57" t="str">
        <f>K24*$E$7+O24</f>
        <v>0</v>
      </c>
      <c r="Q24" s="82" t="str">
        <f>P24/$P$38</f>
        <v>0</v>
      </c>
      <c r="R24" s="145" t="str">
        <f>($R$22/$Q$22)*Q24</f>
        <v>0</v>
      </c>
      <c r="S24" s="58" t="str">
        <f>I24*$E$7</f>
        <v>0</v>
      </c>
      <c r="T24" s="58" t="str">
        <f>M24*$E$7+S24</f>
        <v>0</v>
      </c>
      <c r="U24" s="87" t="str">
        <f>T24/$T$38</f>
        <v>0</v>
      </c>
      <c r="V24" s="145" t="str">
        <f>($V$22/$U$22)*U24</f>
        <v>0</v>
      </c>
      <c r="W24" s="145" t="str">
        <f>(P24+T24)/($P$22+$T$22)</f>
        <v>0</v>
      </c>
      <c r="X24" s="438"/>
      <c r="Y24" s="281"/>
      <c r="AB24" s="616"/>
      <c r="AC24" s="334"/>
      <c r="AD24" s="335"/>
      <c r="AE24" s="349"/>
      <c r="AF24" s="349"/>
      <c r="AG24" s="334"/>
      <c r="AH24" s="335"/>
      <c r="AI24" s="352"/>
      <c r="AJ24" s="352"/>
      <c r="AL24" s="418" t="s">
        <v>169</v>
      </c>
      <c r="AM24" s="418" t="s">
        <v>170</v>
      </c>
      <c r="AN24" s="419" t="s">
        <v>169</v>
      </c>
      <c r="AO24" s="419" t="s">
        <v>170</v>
      </c>
    </row>
    <row r="25" spans="1:42" customHeight="1" ht="24.75">
      <c r="A25" s="24" t="s">
        <v>195</v>
      </c>
      <c r="B25" s="41" t="s">
        <v>196</v>
      </c>
      <c r="C25" s="19" t="s">
        <v>197</v>
      </c>
      <c r="D25" s="44">
        <v>0.005</v>
      </c>
      <c r="E25" s="22" t="str">
        <f>E$7*D25</f>
        <v>0</v>
      </c>
      <c r="F25" s="132" t="str">
        <f>E25/$E$22</f>
        <v>0</v>
      </c>
      <c r="G25" s="139"/>
      <c r="H25" s="126"/>
      <c r="I25" s="23">
        <v>0.005</v>
      </c>
      <c r="J25" s="88" t="str">
        <f>I25/$I$38</f>
        <v>0</v>
      </c>
      <c r="K25" s="20" t="str">
        <f>0.08%+0.02%</f>
        <v>0</v>
      </c>
      <c r="L25" s="119" t="str">
        <f>K25/$K$38</f>
        <v>0</v>
      </c>
      <c r="M25" s="23">
        <v>0</v>
      </c>
      <c r="N25" s="88" t="str">
        <f>M25/$M$38</f>
        <v>0</v>
      </c>
      <c r="O25" s="139"/>
      <c r="P25" s="61" t="str">
        <f>K25*$E$7+O25</f>
        <v>0</v>
      </c>
      <c r="Q25" s="83" t="str">
        <f>P25/$P$38</f>
        <v>0</v>
      </c>
      <c r="R25" s="132" t="str">
        <f>($R$22/$Q$22)*Q25</f>
        <v>0</v>
      </c>
      <c r="S25" s="62" t="str">
        <f>I25*$E$7</f>
        <v>0</v>
      </c>
      <c r="T25" s="96" t="str">
        <f>M25*$E$7+S25</f>
        <v>0</v>
      </c>
      <c r="U25" s="88" t="str">
        <f>T25/$T$38</f>
        <v>0</v>
      </c>
      <c r="V25" s="132" t="str">
        <f>($V$22/$U$22)*U25</f>
        <v>0</v>
      </c>
      <c r="W25" s="132" t="str">
        <f>(P25+T25)/($P$22+$T$22)</f>
        <v>0</v>
      </c>
      <c r="X25" s="451"/>
      <c r="Y25" s="281"/>
      <c r="AB25" s="624" t="s">
        <v>198</v>
      </c>
      <c r="AC25" s="336" t="s">
        <v>106</v>
      </c>
      <c r="AD25" s="337" t="s">
        <v>107</v>
      </c>
      <c r="AE25" s="350" t="str">
        <f>$O$29*30%+AL29</f>
        <v>0</v>
      </c>
      <c r="AF25" s="350" t="str">
        <f>$P$29*30%+AM29</f>
        <v>0</v>
      </c>
      <c r="AG25" s="336" t="s">
        <v>108</v>
      </c>
      <c r="AH25" s="337" t="s">
        <v>109</v>
      </c>
      <c r="AI25" s="338" t="str">
        <f>$S$29*50%</f>
        <v>0</v>
      </c>
      <c r="AJ25" s="338" t="str">
        <f>$T$29*50%</f>
        <v>0</v>
      </c>
      <c r="AL25" s="408" t="str">
        <f>$AI$4*$AL$4*25%</f>
        <v>0</v>
      </c>
      <c r="AM25" s="409" t="str">
        <f>AL25+AN25*20%</f>
        <v>0</v>
      </c>
      <c r="AN25" s="410" t="str">
        <f>$AI$4*$AN$4*70%</f>
        <v>0</v>
      </c>
      <c r="AO25" s="411" t="str">
        <f>AN25/75%</f>
        <v>0</v>
      </c>
    </row>
    <row r="26" spans="1:42" customHeight="1" ht="24.75">
      <c r="A26" s="25" t="s">
        <v>199</v>
      </c>
      <c r="B26" s="41" t="s">
        <v>200</v>
      </c>
      <c r="C26" s="19">
        <v>11</v>
      </c>
      <c r="D26" s="44">
        <v>0.03</v>
      </c>
      <c r="E26" s="22" t="str">
        <f>E$7*D26</f>
        <v>0</v>
      </c>
      <c r="F26" s="132" t="str">
        <f>E26/$E$22</f>
        <v>0</v>
      </c>
      <c r="G26" s="139"/>
      <c r="H26" s="126"/>
      <c r="I26" s="23" t="str">
        <f>3%-1%</f>
        <v>0</v>
      </c>
      <c r="J26" s="88" t="str">
        <f>I26/$I$38</f>
        <v>0</v>
      </c>
      <c r="K26" s="20" t="str">
        <f>0.32%-0.02%</f>
        <v>0</v>
      </c>
      <c r="L26" s="119" t="str">
        <f>K26/$K$38</f>
        <v>0</v>
      </c>
      <c r="M26" s="26">
        <v>0</v>
      </c>
      <c r="N26" s="88" t="str">
        <f>M26/$M$38</f>
        <v>0</v>
      </c>
      <c r="O26" s="139"/>
      <c r="P26" s="61" t="str">
        <f>K26*$E$7+O26</f>
        <v>0</v>
      </c>
      <c r="Q26" s="83" t="str">
        <f>P26/$P$38</f>
        <v>0</v>
      </c>
      <c r="R26" s="132" t="str">
        <f>($R$22/$Q$22)*Q26</f>
        <v>0</v>
      </c>
      <c r="S26" s="62" t="str">
        <f>I26*$E$7</f>
        <v>0</v>
      </c>
      <c r="T26" s="96" t="str">
        <f>M26*$E$7+S26</f>
        <v>0</v>
      </c>
      <c r="U26" s="88" t="str">
        <f>T26/$T$38</f>
        <v>0</v>
      </c>
      <c r="V26" s="132" t="str">
        <f>($V$22/$U$22)*U26</f>
        <v>0</v>
      </c>
      <c r="W26" s="132" t="str">
        <f>(P26+T26)/($P$22+$T$22)</f>
        <v>0</v>
      </c>
      <c r="X26" s="451"/>
      <c r="Y26" s="281"/>
      <c r="AB26" s="625"/>
      <c r="AC26" s="339" t="s">
        <v>110</v>
      </c>
      <c r="AD26" s="340" t="s">
        <v>111</v>
      </c>
      <c r="AE26" s="351" t="str">
        <f>$O$29*60%+AL30</f>
        <v>0</v>
      </c>
      <c r="AF26" s="351" t="str">
        <f>$P$29*60%+AM30</f>
        <v>0</v>
      </c>
      <c r="AG26" s="339" t="s">
        <v>112</v>
      </c>
      <c r="AH26" s="340" t="s">
        <v>113</v>
      </c>
      <c r="AI26" s="341" t="str">
        <f>$S$29*50%</f>
        <v>0</v>
      </c>
      <c r="AJ26" s="341" t="str">
        <f>$T$29*50%</f>
        <v>0</v>
      </c>
      <c r="AL26" s="408" t="str">
        <f>$AI$4*$AL$4*55%</f>
        <v>0</v>
      </c>
      <c r="AM26" s="409" t="str">
        <f>AL26+AN26*20%</f>
        <v>0</v>
      </c>
      <c r="AN26" s="410"/>
      <c r="AO26" s="411"/>
    </row>
    <row r="27" spans="1:42" customHeight="1" ht="30.75">
      <c r="A27" s="24" t="s">
        <v>201</v>
      </c>
      <c r="B27" s="41" t="s">
        <v>202</v>
      </c>
      <c r="C27" s="19">
        <v>12</v>
      </c>
      <c r="D27" s="44">
        <v>0.09</v>
      </c>
      <c r="E27" s="22" t="str">
        <f>E$7*D27</f>
        <v>0</v>
      </c>
      <c r="F27" s="132" t="str">
        <f>E27/$E$22</f>
        <v>0</v>
      </c>
      <c r="G27" s="20" t="str">
        <f>2.16%</f>
        <v>0</v>
      </c>
      <c r="H27" s="81" t="str">
        <f>G27/$G$38</f>
        <v>0</v>
      </c>
      <c r="I27" s="23">
        <v>0.09</v>
      </c>
      <c r="J27" s="86" t="str">
        <f>I27/$I$38</f>
        <v>0</v>
      </c>
      <c r="K27" s="20">
        <v>0.02352</v>
      </c>
      <c r="L27" s="120" t="str">
        <f>K27/$K$38</f>
        <v>0</v>
      </c>
      <c r="M27" s="23" t="str">
        <f>1.5%+0.9%</f>
        <v>0</v>
      </c>
      <c r="N27" s="86" t="str">
        <f>M27/$M$38</f>
        <v>0</v>
      </c>
      <c r="O27" s="61" t="str">
        <f>G27*$E$7</f>
        <v>0</v>
      </c>
      <c r="P27" s="100" t="str">
        <f>K27*$E$7+O27</f>
        <v>0</v>
      </c>
      <c r="Q27" s="81" t="str">
        <f>P27/$P$38</f>
        <v>0</v>
      </c>
      <c r="R27" s="132" t="str">
        <f>($R$22/$Q$22)*Q27</f>
        <v>0</v>
      </c>
      <c r="S27" s="62" t="str">
        <f>I27*$E$7</f>
        <v>0</v>
      </c>
      <c r="T27" s="96" t="str">
        <f>M27*$E$7+S27</f>
        <v>0</v>
      </c>
      <c r="U27" s="86" t="str">
        <f>T27/$T$38</f>
        <v>0</v>
      </c>
      <c r="V27" s="132" t="str">
        <f>($V$22/$U$22)*U27</f>
        <v>0</v>
      </c>
      <c r="W27" s="132" t="str">
        <f>(P27+T27)/($P$22+$T$22)</f>
        <v>0</v>
      </c>
      <c r="X27" s="451"/>
      <c r="Y27" s="281"/>
      <c r="AB27" s="625"/>
      <c r="AC27" s="339" t="s">
        <v>114</v>
      </c>
      <c r="AD27" s="340" t="s">
        <v>115</v>
      </c>
      <c r="AE27" s="562" t="str">
        <f>$O$29*10%+AL31</f>
        <v>0</v>
      </c>
      <c r="AF27" s="351" t="str">
        <f>$P$29*10%+AM31</f>
        <v>0</v>
      </c>
      <c r="AG27" s="339" t="s">
        <v>116</v>
      </c>
      <c r="AH27" s="340" t="s">
        <v>117</v>
      </c>
      <c r="AI27" s="341" t="str">
        <f>AN29+AN30</f>
        <v>0</v>
      </c>
      <c r="AJ27" s="341" t="str">
        <f>AO29+AO30</f>
        <v>0</v>
      </c>
      <c r="AL27" s="408" t="str">
        <f>$AI$4*$AL$4*20%</f>
        <v>0</v>
      </c>
      <c r="AM27" s="409" t="str">
        <f>AL27+AN27*20%</f>
        <v>0</v>
      </c>
      <c r="AN27" s="410" t="str">
        <f>$AI$4*$AN$4*30%</f>
        <v>0</v>
      </c>
      <c r="AO27" s="411" t="str">
        <f>AN27/75%</f>
        <v>0</v>
      </c>
    </row>
    <row r="28" spans="1:42" customHeight="1" ht="24.75">
      <c r="A28" s="24" t="s">
        <v>203</v>
      </c>
      <c r="B28" s="41" t="s">
        <v>204</v>
      </c>
      <c r="C28" s="19">
        <v>13</v>
      </c>
      <c r="D28" s="44"/>
      <c r="E28" s="22" t="s">
        <v>205</v>
      </c>
      <c r="F28" s="136"/>
      <c r="G28" s="139"/>
      <c r="H28" s="126"/>
      <c r="I28" s="38"/>
      <c r="J28" s="126"/>
      <c r="K28" s="38"/>
      <c r="L28" s="126"/>
      <c r="M28" s="38"/>
      <c r="N28" s="126"/>
      <c r="O28" s="139"/>
      <c r="P28" s="64"/>
      <c r="Q28" s="126"/>
      <c r="R28" s="136"/>
      <c r="S28" s="64"/>
      <c r="T28" s="64"/>
      <c r="U28" s="126"/>
      <c r="V28" s="136"/>
      <c r="W28" s="136"/>
      <c r="X28" s="451"/>
      <c r="Y28" s="281"/>
      <c r="AB28" s="626"/>
      <c r="AC28" s="342" t="s">
        <v>118</v>
      </c>
      <c r="AD28" s="343" t="s">
        <v>119</v>
      </c>
      <c r="AE28" s="381" t="str">
        <f>$O$30</f>
        <v>0</v>
      </c>
      <c r="AF28" s="381" t="str">
        <f>$P$30</f>
        <v>0</v>
      </c>
      <c r="AG28" s="342" t="s">
        <v>120</v>
      </c>
      <c r="AH28" s="343" t="s">
        <v>121</v>
      </c>
      <c r="AI28" s="381" t="str">
        <f>$S$30</f>
        <v>0</v>
      </c>
      <c r="AJ28" s="344" t="str">
        <f>$T$30</f>
        <v>0</v>
      </c>
      <c r="AL28" s="408"/>
      <c r="AM28" s="408"/>
      <c r="AN28" s="410"/>
      <c r="AO28" s="410"/>
    </row>
    <row r="29" spans="1:42" customHeight="1" ht="15.75">
      <c r="A29" s="24" t="s">
        <v>45</v>
      </c>
      <c r="B29" s="41" t="s">
        <v>206</v>
      </c>
      <c r="C29" s="19">
        <v>14</v>
      </c>
      <c r="D29" s="44">
        <v>0.144</v>
      </c>
      <c r="E29" s="22" t="str">
        <f>E$7*D29</f>
        <v>0</v>
      </c>
      <c r="F29" s="132" t="str">
        <f>E29/$E$22</f>
        <v>0</v>
      </c>
      <c r="G29" s="20">
        <v>0.0288</v>
      </c>
      <c r="H29" s="83" t="str">
        <f>G29/$G$38</f>
        <v>0</v>
      </c>
      <c r="I29" s="23">
        <v>0.1152</v>
      </c>
      <c r="J29" s="88" t="str">
        <f>I29/$I$38</f>
        <v>0</v>
      </c>
      <c r="K29" s="440" t="str">
        <f>0.6%+3.84%-0.57%</f>
        <v>0</v>
      </c>
      <c r="L29" s="119" t="str">
        <f>K29/$K$38</f>
        <v>0</v>
      </c>
      <c r="M29" s="23" t="str">
        <f>0%+2%</f>
        <v>0</v>
      </c>
      <c r="N29" s="88" t="str">
        <f>M29/$M$38</f>
        <v>0</v>
      </c>
      <c r="O29" s="61" t="str">
        <f>G29*$E$7</f>
        <v>0</v>
      </c>
      <c r="P29" s="61" t="str">
        <f>K29*$E$7+O29</f>
        <v>0</v>
      </c>
      <c r="Q29" s="83" t="str">
        <f>P29/$P$38</f>
        <v>0</v>
      </c>
      <c r="R29" s="132" t="str">
        <f>($R$22/$Q$22)*Q29</f>
        <v>0</v>
      </c>
      <c r="S29" s="62" t="str">
        <f>I29*$E$7</f>
        <v>0</v>
      </c>
      <c r="T29" s="96" t="str">
        <f>M29*$E$7+S29</f>
        <v>0</v>
      </c>
      <c r="U29" s="88" t="str">
        <f>T29/$T$38</f>
        <v>0</v>
      </c>
      <c r="V29" s="132" t="str">
        <f>($V$22/$U$22)*U29</f>
        <v>0</v>
      </c>
      <c r="W29" s="132" t="str">
        <f>(P29+T29)/($P$22+$T$22)</f>
        <v>0</v>
      </c>
      <c r="X29" s="451"/>
      <c r="Y29" s="281"/>
      <c r="AB29" s="621" t="s">
        <v>207</v>
      </c>
      <c r="AC29" s="353"/>
      <c r="AD29" s="354" t="s">
        <v>208</v>
      </c>
      <c r="AE29" s="363" t="str">
        <f>$O$31+$O$32+$O$36+AL33</f>
        <v>0</v>
      </c>
      <c r="AF29" s="363" t="str">
        <f>$P$31+$P$32+$P$36+AM33</f>
        <v>0</v>
      </c>
      <c r="AG29" s="353" t="s">
        <v>122</v>
      </c>
      <c r="AH29" s="355" t="s">
        <v>123</v>
      </c>
      <c r="AI29" s="369" t="str">
        <f>$S$35+AN33</f>
        <v>0</v>
      </c>
      <c r="AJ29" s="369" t="str">
        <f>$S$35+$T$37+AO33</f>
        <v>0</v>
      </c>
      <c r="AL29" s="408" t="str">
        <f>$AI$5*$AL$5*30%</f>
        <v>0</v>
      </c>
      <c r="AM29" s="409" t="str">
        <f>AL29+AN29*20%</f>
        <v>0</v>
      </c>
      <c r="AN29" s="410" t="str">
        <f>$AI$5*$AN$5*50%</f>
        <v>0</v>
      </c>
      <c r="AO29" s="411" t="str">
        <f>AN29/75%</f>
        <v>0</v>
      </c>
    </row>
    <row r="30" spans="1:42" customHeight="1" ht="24.75">
      <c r="A30" s="420" t="s">
        <v>36</v>
      </c>
      <c r="B30" s="421" t="s">
        <v>209</v>
      </c>
      <c r="C30" s="422">
        <v>15</v>
      </c>
      <c r="D30" s="423">
        <v>0.027</v>
      </c>
      <c r="E30" s="424" t="str">
        <f>E$7*D30</f>
        <v>0</v>
      </c>
      <c r="F30" s="425" t="str">
        <f>E30/$E$22</f>
        <v>0</v>
      </c>
      <c r="G30" s="426">
        <v>0.0054</v>
      </c>
      <c r="H30" s="427" t="str">
        <f>G30/$G$38</f>
        <v>0</v>
      </c>
      <c r="I30" s="428">
        <v>0.0216</v>
      </c>
      <c r="J30" s="429" t="str">
        <f>I30/$I$38</f>
        <v>0</v>
      </c>
      <c r="K30" s="426" t="str">
        <f>0.08%+0.02%</f>
        <v>0</v>
      </c>
      <c r="L30" s="430" t="str">
        <f>K30/$K$38</f>
        <v>0</v>
      </c>
      <c r="M30" s="428">
        <v>0</v>
      </c>
      <c r="N30" s="429" t="str">
        <f>M30/$M$38</f>
        <v>0</v>
      </c>
      <c r="O30" s="431" t="str">
        <f>G30*$E$7</f>
        <v>0</v>
      </c>
      <c r="P30" s="431" t="str">
        <f>K30*$E$7+O30</f>
        <v>0</v>
      </c>
      <c r="Q30" s="427" t="str">
        <f>P30/$P$38</f>
        <v>0</v>
      </c>
      <c r="R30" s="425" t="str">
        <f>($R$22/$Q$22)*Q30</f>
        <v>0</v>
      </c>
      <c r="S30" s="432" t="str">
        <f>I30*$E$7</f>
        <v>0</v>
      </c>
      <c r="T30" s="62" t="str">
        <f>M30*$E$7+S30</f>
        <v>0</v>
      </c>
      <c r="U30" s="429" t="str">
        <f>T30/$T$38</f>
        <v>0</v>
      </c>
      <c r="V30" s="425" t="str">
        <f>($V$22/$U$22)*U30</f>
        <v>0</v>
      </c>
      <c r="W30" s="425" t="str">
        <f>(P30+T30)/($P$22+$T$22)</f>
        <v>0</v>
      </c>
      <c r="X30" s="453"/>
      <c r="Y30" s="281"/>
      <c r="AB30" s="622"/>
      <c r="AC30" s="374"/>
      <c r="AD30" s="375" t="s">
        <v>210</v>
      </c>
      <c r="AE30" s="376" t="str">
        <f>$O$33</f>
        <v>0</v>
      </c>
      <c r="AF30" s="376" t="str">
        <f>$P$33</f>
        <v>0</v>
      </c>
      <c r="AG30" s="374"/>
      <c r="AH30" s="375"/>
      <c r="AI30" s="377"/>
      <c r="AJ30" s="377"/>
      <c r="AL30" s="408" t="str">
        <f>$AI$5*$AL$5*60%</f>
        <v>0</v>
      </c>
      <c r="AM30" s="409" t="str">
        <f>AL30+AN30*20%</f>
        <v>0</v>
      </c>
      <c r="AN30" s="410" t="str">
        <f>$AI$5*$AN$5*50%</f>
        <v>0</v>
      </c>
      <c r="AO30" s="411" t="str">
        <f>AN30/75%</f>
        <v>0</v>
      </c>
    </row>
    <row r="31" spans="1:42">
      <c r="A31" s="610" t="s">
        <v>52</v>
      </c>
      <c r="B31" s="39" t="s">
        <v>54</v>
      </c>
      <c r="C31" s="15">
        <v>16</v>
      </c>
      <c r="D31" s="42">
        <v>0.0398</v>
      </c>
      <c r="E31" s="16" t="str">
        <f>E$7*D31</f>
        <v>0</v>
      </c>
      <c r="F31" s="382" t="str">
        <f>E31/$E$22</f>
        <v>0</v>
      </c>
      <c r="G31" s="286" t="str">
        <f>2.21%-0.21%</f>
        <v>0</v>
      </c>
      <c r="H31" s="317" t="str">
        <f>G31/$G$38</f>
        <v>0</v>
      </c>
      <c r="I31" s="564" t="str">
        <f>1%+0.5%+0.21%</f>
        <v>0</v>
      </c>
      <c r="J31" s="435" t="str">
        <f>I31/$I$38</f>
        <v>0</v>
      </c>
      <c r="K31" s="286" t="str">
        <f>1.996%-1.5%</f>
        <v>0</v>
      </c>
      <c r="L31" s="383" t="str">
        <f>K31/$K$38</f>
        <v>0</v>
      </c>
      <c r="M31" s="101"/>
      <c r="N31" s="435" t="str">
        <f>M31/$M$38</f>
        <v>0</v>
      </c>
      <c r="O31" s="59" t="str">
        <f>G31*$E$7</f>
        <v>0</v>
      </c>
      <c r="P31" s="59" t="str">
        <f>K31*$E$7+O31</f>
        <v>0</v>
      </c>
      <c r="Q31" s="317" t="str">
        <f>P31/$P$38</f>
        <v>0</v>
      </c>
      <c r="R31" s="382" t="str">
        <f>($R$22/$Q$22)*Q31</f>
        <v>0</v>
      </c>
      <c r="S31" s="60" t="str">
        <f>I31*$E$7</f>
        <v>0</v>
      </c>
      <c r="T31" s="60" t="str">
        <f>M31*$E$7+S31</f>
        <v>0</v>
      </c>
      <c r="U31" s="435" t="str">
        <f>T31/$T$38</f>
        <v>0</v>
      </c>
      <c r="V31" s="382" t="str">
        <f>($V$22/$U$22)*U31</f>
        <v>0</v>
      </c>
      <c r="W31" s="382" t="str">
        <f>(P31+T31)/($P$22+$T$22)</f>
        <v>0</v>
      </c>
      <c r="X31" s="436"/>
      <c r="Y31" s="281"/>
      <c r="AB31" s="622"/>
      <c r="AC31" s="374"/>
      <c r="AD31" s="375" t="s">
        <v>211</v>
      </c>
      <c r="AE31" s="376" t="str">
        <f>$O$34</f>
        <v>0</v>
      </c>
      <c r="AF31" s="376" t="str">
        <f>$P$34</f>
        <v>0</v>
      </c>
      <c r="AG31" s="374">
        <v>901</v>
      </c>
      <c r="AH31" s="375" t="s">
        <v>212</v>
      </c>
      <c r="AI31" s="377" t="str">
        <f>$S$36</f>
        <v>0</v>
      </c>
      <c r="AJ31" s="377" t="str">
        <f>$T$36</f>
        <v>0</v>
      </c>
      <c r="AL31" s="408" t="str">
        <f>$AI$5*$AL$5*10%</f>
        <v>0</v>
      </c>
      <c r="AM31" s="409" t="str">
        <f>AL31+AN31*20%</f>
        <v>0</v>
      </c>
      <c r="AN31" s="410"/>
      <c r="AO31" s="411"/>
    </row>
    <row r="32" spans="1:42">
      <c r="A32" s="611"/>
      <c r="B32" s="70" t="s">
        <v>55</v>
      </c>
      <c r="C32" s="8">
        <v>16</v>
      </c>
      <c r="D32" s="43">
        <v>0.0788</v>
      </c>
      <c r="E32" s="2" t="str">
        <f>E$7*D32</f>
        <v>0</v>
      </c>
      <c r="F32" s="130" t="str">
        <f>E32/$E$22</f>
        <v>0</v>
      </c>
      <c r="G32" s="384" t="str">
        <f>6.5%-0.5%</f>
        <v>0</v>
      </c>
      <c r="H32" s="79" t="str">
        <f>G32/$G$38</f>
        <v>0</v>
      </c>
      <c r="I32" s="565" t="str">
        <f>2.59%+0.5%</f>
        <v>0</v>
      </c>
      <c r="J32" s="85" t="str">
        <f>I32/$I$38</f>
        <v>0</v>
      </c>
      <c r="K32" s="384" t="str">
        <f>3.34%-2.34%</f>
        <v>0</v>
      </c>
      <c r="L32" s="117" t="str">
        <f>K32/$K$38</f>
        <v>0</v>
      </c>
      <c r="M32" s="434"/>
      <c r="N32" s="85" t="str">
        <f>M32/$M$38</f>
        <v>0</v>
      </c>
      <c r="O32" s="46" t="str">
        <f>G32*$E$7</f>
        <v>0</v>
      </c>
      <c r="P32" s="46" t="str">
        <f>K32*$E$7+O32</f>
        <v>0</v>
      </c>
      <c r="Q32" s="79" t="str">
        <f>P32/$P$38</f>
        <v>0</v>
      </c>
      <c r="R32" s="130" t="str">
        <f>($R$22/$Q$22)*Q32</f>
        <v>0</v>
      </c>
      <c r="S32" s="47" t="str">
        <f>I32*$E$7</f>
        <v>0</v>
      </c>
      <c r="T32" s="47" t="str">
        <f>M32*$E$7+S32</f>
        <v>0</v>
      </c>
      <c r="U32" s="85" t="str">
        <f>T32/$T$38</f>
        <v>0</v>
      </c>
      <c r="V32" s="130" t="str">
        <f>($V$22/$U$22)*U32</f>
        <v>0</v>
      </c>
      <c r="W32" s="130" t="str">
        <f>(P32+T32)/($P$22+$T$22)</f>
        <v>0</v>
      </c>
      <c r="X32" s="437"/>
      <c r="Y32" s="281"/>
      <c r="AB32" s="622"/>
      <c r="AC32" s="374"/>
      <c r="AD32" s="375" t="s">
        <v>208</v>
      </c>
      <c r="AE32" s="376" t="str">
        <f>$O$37</f>
        <v>0</v>
      </c>
      <c r="AF32" s="376" t="str">
        <f>$P$37</f>
        <v>0</v>
      </c>
      <c r="AG32" s="374" t="s">
        <v>124</v>
      </c>
      <c r="AH32" s="443" t="s">
        <v>125</v>
      </c>
      <c r="AI32" s="377" t="str">
        <f>$S$32+$S$31+AN35</f>
        <v>0</v>
      </c>
      <c r="AJ32" s="377" t="str">
        <f>$T$32+$T$31+($T$35-$S$35)/3</f>
        <v>0</v>
      </c>
      <c r="AL32" s="408"/>
      <c r="AM32" s="408"/>
      <c r="AN32" s="410"/>
      <c r="AO32" s="410"/>
    </row>
    <row r="33" spans="1:42" customHeight="1" ht="15.75">
      <c r="A33" s="611"/>
      <c r="B33" s="70" t="s">
        <v>58</v>
      </c>
      <c r="C33" s="8">
        <v>16</v>
      </c>
      <c r="D33" s="43">
        <v>0.0344</v>
      </c>
      <c r="E33" s="2" t="str">
        <f>E$7*D33</f>
        <v>0</v>
      </c>
      <c r="F33" s="130" t="str">
        <f>E33/$E$22</f>
        <v>0</v>
      </c>
      <c r="G33" s="384" t="str">
        <f>3%-0.5%</f>
        <v>0</v>
      </c>
      <c r="H33" s="79" t="str">
        <f>G33/$G$38</f>
        <v>0</v>
      </c>
      <c r="I33" s="99">
        <v>0</v>
      </c>
      <c r="J33" s="85" t="str">
        <f>I33/$I$38</f>
        <v>0</v>
      </c>
      <c r="K33" s="13" t="str">
        <f>0.08%+0.02%</f>
        <v>0</v>
      </c>
      <c r="L33" s="117" t="str">
        <f>K33/$K$38</f>
        <v>0</v>
      </c>
      <c r="M33" s="434"/>
      <c r="N33" s="85" t="str">
        <f>M33/$M$38</f>
        <v>0</v>
      </c>
      <c r="O33" s="46" t="str">
        <f>G33*$E$7</f>
        <v>0</v>
      </c>
      <c r="P33" s="46" t="str">
        <f>K33*$E$7+O33</f>
        <v>0</v>
      </c>
      <c r="Q33" s="79" t="str">
        <f>P33/$P$38</f>
        <v>0</v>
      </c>
      <c r="R33" s="130" t="str">
        <f>($R$22/$Q$22)*Q33</f>
        <v>0</v>
      </c>
      <c r="S33" s="47" t="str">
        <f>I33*$E$7</f>
        <v>0</v>
      </c>
      <c r="T33" s="47" t="str">
        <f>M33*$E$7+S33</f>
        <v>0</v>
      </c>
      <c r="U33" s="85" t="str">
        <f>T33/$T$38</f>
        <v>0</v>
      </c>
      <c r="V33" s="130" t="str">
        <f>($V$22/$U$22)*U33</f>
        <v>0</v>
      </c>
      <c r="W33" s="130" t="str">
        <f>(P33+T33)/($P$22+$T$22)</f>
        <v>0</v>
      </c>
      <c r="X33" s="437"/>
      <c r="Y33" s="281"/>
      <c r="AB33" s="623"/>
      <c r="AC33" s="356" t="s">
        <v>40</v>
      </c>
      <c r="AD33" s="357" t="s">
        <v>213</v>
      </c>
      <c r="AE33" s="364" t="str">
        <f>$O$35</f>
        <v>0</v>
      </c>
      <c r="AF33" s="364" t="str">
        <f>$P$35</f>
        <v>0</v>
      </c>
      <c r="AG33" s="356" t="s">
        <v>126</v>
      </c>
      <c r="AH33" s="441" t="s">
        <v>127</v>
      </c>
      <c r="AI33" s="370">
        <v>0</v>
      </c>
      <c r="AJ33" s="370" t="str">
        <f>($T$35-$S$35)*2/3</f>
        <v>0</v>
      </c>
      <c r="AL33" s="408" t="str">
        <f>$AI$4*$AL$6+$AI$5*$AL$6</f>
        <v>0</v>
      </c>
      <c r="AM33" s="409" t="str">
        <f>AL33+AN33*20%</f>
        <v>0</v>
      </c>
      <c r="AN33" s="410" t="str">
        <f>$AI$4*$AN$6*75%</f>
        <v>0</v>
      </c>
      <c r="AO33" s="411" t="str">
        <f>AN33/75%</f>
        <v>0</v>
      </c>
    </row>
    <row r="34" spans="1:42" customHeight="1" ht="15.75">
      <c r="A34" s="611"/>
      <c r="B34" s="70" t="s">
        <v>56</v>
      </c>
      <c r="C34" s="8">
        <v>16</v>
      </c>
      <c r="D34" s="43" t="str">
        <f>1%+0.32%</f>
        <v>0</v>
      </c>
      <c r="E34" s="2" t="str">
        <f>E$7*D34</f>
        <v>0</v>
      </c>
      <c r="F34" s="130" t="str">
        <f>E34/$E$22</f>
        <v>0</v>
      </c>
      <c r="G34" s="13" t="str">
        <f>1.32%</f>
        <v>0</v>
      </c>
      <c r="H34" s="79" t="str">
        <f>G34/$G$38</f>
        <v>0</v>
      </c>
      <c r="I34" s="99">
        <v>0</v>
      </c>
      <c r="J34" s="85" t="str">
        <f>I34/$I$38</f>
        <v>0</v>
      </c>
      <c r="K34" s="13" t="str">
        <f>0.48%+0.02%</f>
        <v>0</v>
      </c>
      <c r="L34" s="117" t="str">
        <f>K34/$K$38</f>
        <v>0</v>
      </c>
      <c r="M34" s="434"/>
      <c r="N34" s="85" t="str">
        <f>M34/$M$38</f>
        <v>0</v>
      </c>
      <c r="O34" s="46" t="str">
        <f>G34*$E$7</f>
        <v>0</v>
      </c>
      <c r="P34" s="46" t="str">
        <f>K34*$E$7+O34</f>
        <v>0</v>
      </c>
      <c r="Q34" s="79" t="str">
        <f>P34/$P$38</f>
        <v>0</v>
      </c>
      <c r="R34" s="130" t="str">
        <f>($R$22/$Q$22)*Q34</f>
        <v>0</v>
      </c>
      <c r="S34" s="47" t="str">
        <f>I34*$E$7</f>
        <v>0</v>
      </c>
      <c r="T34" s="47" t="str">
        <f>M34*$E$7+S34</f>
        <v>0</v>
      </c>
      <c r="U34" s="85" t="str">
        <f>T34/$T$38</f>
        <v>0</v>
      </c>
      <c r="V34" s="130" t="str">
        <f>($V$22/$U$22)*U34</f>
        <v>0</v>
      </c>
      <c r="W34" s="130" t="str">
        <f>(P34+T34)/($P$22+$T$22)</f>
        <v>0</v>
      </c>
      <c r="X34" s="437"/>
      <c r="Y34" s="281"/>
      <c r="AB34" s="387"/>
      <c r="AC34" s="385"/>
      <c r="AD34" s="233"/>
      <c r="AE34" s="232"/>
      <c r="AF34" s="232"/>
      <c r="AG34" s="385"/>
      <c r="AH34" s="386"/>
      <c r="AI34" s="231"/>
      <c r="AJ34" s="231"/>
      <c r="AL34" s="408"/>
      <c r="AM34" s="408"/>
      <c r="AN34" s="410"/>
      <c r="AO34" s="410"/>
    </row>
    <row r="35" spans="1:42" customHeight="1" ht="15.75">
      <c r="A35" s="611"/>
      <c r="B35" s="70" t="s">
        <v>214</v>
      </c>
      <c r="C35" s="8">
        <v>16</v>
      </c>
      <c r="D35" s="43">
        <v>0.0225</v>
      </c>
      <c r="E35" s="2" t="str">
        <f>E$7*D35</f>
        <v>0</v>
      </c>
      <c r="F35" s="129" t="str">
        <f>E35/$E$22</f>
        <v>0</v>
      </c>
      <c r="G35" s="9"/>
      <c r="H35" s="78"/>
      <c r="I35" s="99">
        <v>0.0225</v>
      </c>
      <c r="J35" s="85" t="str">
        <f>I35/$I$38</f>
        <v>0</v>
      </c>
      <c r="K35" s="434"/>
      <c r="L35" s="78"/>
      <c r="M35" s="565" t="str">
        <f>6%-0.5%-0.21%-0.5%</f>
        <v>0</v>
      </c>
      <c r="N35" s="85" t="str">
        <f>M35/$M$38</f>
        <v>0</v>
      </c>
      <c r="O35" s="434"/>
      <c r="P35" s="455"/>
      <c r="Q35" s="78"/>
      <c r="R35" s="129"/>
      <c r="S35" s="47" t="str">
        <f>I35*$E$7</f>
        <v>0</v>
      </c>
      <c r="T35" s="47" t="str">
        <f>M35*$E$7+S35</f>
        <v>0</v>
      </c>
      <c r="U35" s="85" t="str">
        <f>T35/$T$38</f>
        <v>0</v>
      </c>
      <c r="V35" s="130" t="str">
        <f>($V$22/$U$22)*U35</f>
        <v>0</v>
      </c>
      <c r="W35" s="129" t="str">
        <f>(P35+T35)/($P$22+$T$22)</f>
        <v>0</v>
      </c>
      <c r="X35" s="447"/>
      <c r="Y35" s="281"/>
      <c r="AB35" s="234"/>
      <c r="AC35" s="235"/>
      <c r="AD35" s="236"/>
      <c r="AE35" s="68" t="str">
        <f>SUM(AE6:AE34)</f>
        <v>0</v>
      </c>
      <c r="AF35" s="68" t="str">
        <f>SUM(AF6:AF34)</f>
        <v>0</v>
      </c>
      <c r="AG35" s="235"/>
      <c r="AH35" s="236"/>
      <c r="AI35" s="68" t="str">
        <f>SUM(AI6:AI34)</f>
        <v>0</v>
      </c>
      <c r="AJ35" s="68" t="str">
        <f>SUM(AJ5:AJ34)</f>
        <v>0</v>
      </c>
      <c r="AL35" s="408" t="str">
        <f>$AI$4*$AL$7+$AI$5*$AL$7</f>
        <v>0</v>
      </c>
      <c r="AM35" s="409" t="str">
        <f>AL35+AN35*20%</f>
        <v>0</v>
      </c>
      <c r="AN35" s="410" t="str">
        <f>$AI$4*$AN$6*25%+$AI$5*$AN$6</f>
        <v>0</v>
      </c>
      <c r="AO35" s="411" t="str">
        <f>AN35/75%</f>
        <v>0</v>
      </c>
    </row>
    <row r="36" spans="1:42" customHeight="1" ht="15.75">
      <c r="A36" s="611"/>
      <c r="B36" s="70" t="s">
        <v>215</v>
      </c>
      <c r="C36" s="456"/>
      <c r="D36" s="43"/>
      <c r="E36" s="2"/>
      <c r="F36" s="136"/>
      <c r="G36" s="139"/>
      <c r="H36" s="126"/>
      <c r="I36" s="38"/>
      <c r="J36" s="126"/>
      <c r="K36" s="38"/>
      <c r="L36" s="126"/>
      <c r="M36" s="38"/>
      <c r="N36" s="126"/>
      <c r="O36" s="139"/>
      <c r="P36" s="64"/>
      <c r="Q36" s="126"/>
      <c r="R36" s="136"/>
      <c r="S36" s="64"/>
      <c r="T36" s="64"/>
      <c r="U36" s="126"/>
      <c r="V36" s="136"/>
      <c r="W36" s="136"/>
      <c r="X36" s="451"/>
      <c r="Y36" s="281"/>
      <c r="AB36" s="225"/>
      <c r="AC36" s="237"/>
      <c r="AD36" s="224"/>
      <c r="AE36" s="224"/>
      <c r="AF36" s="224"/>
      <c r="AG36" s="237"/>
      <c r="AH36" s="224"/>
      <c r="AI36" s="224"/>
      <c r="AJ36" s="225"/>
      <c r="AL36" s="408"/>
      <c r="AM36" s="408"/>
      <c r="AN36" s="410"/>
      <c r="AO36" s="410"/>
    </row>
    <row r="37" spans="1:42" customHeight="1" ht="15.75">
      <c r="A37" s="612"/>
      <c r="B37" s="40" t="s">
        <v>216</v>
      </c>
      <c r="C37" s="17">
        <v>17</v>
      </c>
      <c r="D37" s="56">
        <v>0.009</v>
      </c>
      <c r="E37" s="142" t="str">
        <f>E$7*D37</f>
        <v>0</v>
      </c>
      <c r="F37" s="145" t="str">
        <f>E37/$E$22</f>
        <v>0</v>
      </c>
      <c r="G37" s="18">
        <v>0.009</v>
      </c>
      <c r="H37" s="82" t="str">
        <f>G37/$G$38</f>
        <v>0</v>
      </c>
      <c r="I37" s="140"/>
      <c r="J37" s="140"/>
      <c r="K37" s="18">
        <v>0</v>
      </c>
      <c r="L37" s="118" t="str">
        <f>K37/$K$38</f>
        <v>0</v>
      </c>
      <c r="M37" s="140"/>
      <c r="N37" s="140"/>
      <c r="O37" s="57" t="str">
        <f>G37*$E$7</f>
        <v>0</v>
      </c>
      <c r="P37" s="57" t="str">
        <f>K37*$E$7+O37</f>
        <v>0</v>
      </c>
      <c r="Q37" s="82" t="str">
        <f>P37/$P$38</f>
        <v>0</v>
      </c>
      <c r="R37" s="145" t="str">
        <f>($R$22/$Q$22)*Q37</f>
        <v>0</v>
      </c>
      <c r="S37" s="140"/>
      <c r="T37" s="140"/>
      <c r="U37" s="140"/>
      <c r="V37" s="457"/>
      <c r="W37" s="145" t="str">
        <f>(P37+T37)/($P$22+$T$22)</f>
        <v>0</v>
      </c>
      <c r="X37" s="438"/>
      <c r="Y37" s="281"/>
      <c r="AL37" s="408"/>
      <c r="AM37" s="408"/>
      <c r="AN37" s="410"/>
      <c r="AO37" s="410"/>
    </row>
    <row r="38" spans="1:42" customHeight="1" ht="15.75">
      <c r="A38" s="51"/>
      <c r="B38" s="65" t="s">
        <v>217</v>
      </c>
      <c r="C38" s="66"/>
      <c r="D38" s="67" t="str">
        <f>SUM(D12:D37)</f>
        <v>0</v>
      </c>
      <c r="E38" s="143" t="str">
        <f>SUM(E12:E37)</f>
        <v>0</v>
      </c>
      <c r="F38" s="133" t="str">
        <f>E38/$E$22</f>
        <v>0</v>
      </c>
      <c r="G38" s="69" t="str">
        <f>SUM(G12:G37)</f>
        <v>0</v>
      </c>
      <c r="H38" s="90" t="str">
        <f>SUM(H13:H37)</f>
        <v>0</v>
      </c>
      <c r="I38" s="69" t="str">
        <f>SUM(I12:I37)</f>
        <v>0</v>
      </c>
      <c r="J38" s="90" t="str">
        <f>SUM(J13:J37)</f>
        <v>0</v>
      </c>
      <c r="K38" s="69" t="str">
        <f>SUM(K12:K37)</f>
        <v>0</v>
      </c>
      <c r="L38" s="121" t="str">
        <f>SUM(L13:L37)</f>
        <v>0</v>
      </c>
      <c r="M38" s="69" t="str">
        <f>SUM(M12:M37)</f>
        <v>0</v>
      </c>
      <c r="N38" s="90" t="str">
        <f>SUM(N13:N37)</f>
        <v>0</v>
      </c>
      <c r="O38" s="68" t="str">
        <f>SUM(O12:O37)</f>
        <v>0</v>
      </c>
      <c r="P38" s="68" t="str">
        <f>SUM(P12:P37)</f>
        <v>0</v>
      </c>
      <c r="Q38" s="89" t="str">
        <f>SUM(Q13:Q37)</f>
        <v>0</v>
      </c>
      <c r="R38" s="133" t="str">
        <f>SUM(R13:R37)</f>
        <v>0</v>
      </c>
      <c r="S38" s="68" t="str">
        <f>SUM(S12:S37)</f>
        <v>0</v>
      </c>
      <c r="T38" s="68" t="str">
        <f>SUM(T12:T37)</f>
        <v>0</v>
      </c>
      <c r="U38" s="89" t="str">
        <f>SUM(U13:U37)</f>
        <v>0</v>
      </c>
      <c r="V38" s="133" t="str">
        <f>SUM(V13:V37)</f>
        <v>0</v>
      </c>
      <c r="W38" s="133" t="str">
        <f>(P38+T38)/($P$22+$T$22)</f>
        <v>0</v>
      </c>
      <c r="X38" s="454" t="str">
        <f>W38/F38</f>
        <v>0</v>
      </c>
      <c r="Y38" s="281"/>
      <c r="AL38" s="406" t="str">
        <f>SUM(AL12:AL37)</f>
        <v>0</v>
      </c>
      <c r="AM38" s="406" t="str">
        <f>SUM(AM12:AM37)</f>
        <v>0</v>
      </c>
      <c r="AN38" s="406" t="str">
        <f>SUM(AN12:AN37)</f>
        <v>0</v>
      </c>
      <c r="AO38" s="406" t="str">
        <f>SUM(AO12:AO37)</f>
        <v>0</v>
      </c>
    </row>
    <row r="39" spans="1:42">
      <c r="F39" s="272"/>
      <c r="G39" s="629" t="str">
        <f>G38+I38</f>
        <v>0</v>
      </c>
      <c r="H39" s="630"/>
      <c r="I39" s="631"/>
      <c r="J39" s="271"/>
      <c r="K39" s="631" t="str">
        <f>K38+M38</f>
        <v>0</v>
      </c>
      <c r="L39" s="631"/>
      <c r="M39" s="631"/>
      <c r="N39" s="271"/>
      <c r="O39" s="632" t="str">
        <f>(P38-O38)/S38</f>
        <v>0</v>
      </c>
      <c r="P39" s="630"/>
      <c r="Q39" s="272"/>
      <c r="R39" s="272"/>
      <c r="S39" s="632" t="str">
        <f>T38/S38-1</f>
        <v>0</v>
      </c>
      <c r="T39" s="633"/>
      <c r="U39" s="271"/>
      <c r="V39" s="125"/>
      <c r="W39" s="272"/>
      <c r="X39" s="289" t="str">
        <f>S38/T38</f>
        <v>0</v>
      </c>
      <c r="Y39" t="s">
        <v>218</v>
      </c>
    </row>
    <row r="40" spans="1:42" customHeight="1" ht="15.75">
      <c r="F40" s="270"/>
      <c r="G40" s="103" t="str">
        <f>G38/G39</f>
        <v>0</v>
      </c>
      <c r="H40" s="104"/>
      <c r="I40" s="105" t="str">
        <f>I38/G39</f>
        <v>0</v>
      </c>
      <c r="J40" s="76"/>
      <c r="K40" s="634" t="s">
        <v>219</v>
      </c>
      <c r="L40" s="635"/>
      <c r="M40" s="636"/>
      <c r="N40" s="76"/>
      <c r="O40" s="637">
        <v>0.2</v>
      </c>
      <c r="P40" s="638"/>
      <c r="Q40" s="270"/>
      <c r="R40" s="270"/>
      <c r="S40" s="637">
        <v>0.25</v>
      </c>
      <c r="T40" s="639"/>
      <c r="U40" s="91"/>
      <c r="V40" s="124"/>
      <c r="W40" s="270"/>
      <c r="X40" s="289" t="str">
        <f>O38/P38</f>
        <v>0</v>
      </c>
      <c r="Y40" t="s">
        <v>220</v>
      </c>
    </row>
    <row r="41" spans="1:42" customHeight="1" ht="26.25">
      <c r="D41" s="106"/>
      <c r="E41" s="290"/>
      <c r="F41" s="291"/>
      <c r="G41" s="291"/>
      <c r="H41" s="291"/>
      <c r="I41" s="291"/>
      <c r="J41" s="291"/>
      <c r="K41" s="291"/>
      <c r="L41" s="291"/>
      <c r="M41" s="291"/>
      <c r="N41" s="291"/>
      <c r="O41" s="292" t="str">
        <f>O38/(O38+S38)</f>
        <v>0</v>
      </c>
      <c r="P41" s="292" t="str">
        <f>P38/(P38+T38)</f>
        <v>0</v>
      </c>
      <c r="Q41" s="291"/>
      <c r="R41" s="291"/>
      <c r="S41" s="292" t="str">
        <f>S38/(O38+S38)</f>
        <v>0</v>
      </c>
      <c r="T41" s="292" t="str">
        <f>T38/(P38+T38)</f>
        <v>0</v>
      </c>
      <c r="U41" s="293"/>
      <c r="V41" s="294"/>
      <c r="W41" s="291"/>
      <c r="X41" s="295" t="str">
        <f>(O38+S38+E41)/(P38+T38+E41)</f>
        <v>0</v>
      </c>
      <c r="Y41" s="296" t="s">
        <v>221</v>
      </c>
    </row>
    <row r="42" spans="1:42" customHeight="1" ht="30">
      <c r="A42" s="627" t="s">
        <v>222</v>
      </c>
      <c r="B42" s="39" t="s">
        <v>223</v>
      </c>
      <c r="C42" s="15"/>
      <c r="D42" s="109">
        <v>0.05</v>
      </c>
      <c r="E42" s="93" t="str">
        <f>E$4*D42</f>
        <v>0</v>
      </c>
      <c r="F42" s="122"/>
      <c r="G42" s="71"/>
      <c r="H42" s="71"/>
      <c r="I42" s="72"/>
      <c r="J42" s="72"/>
      <c r="K42" s="72"/>
      <c r="L42" s="71"/>
      <c r="M42" s="72"/>
      <c r="N42" s="72"/>
      <c r="O42" s="34"/>
      <c r="P42" s="35"/>
      <c r="Q42" s="71"/>
      <c r="R42" s="122"/>
      <c r="S42" s="35"/>
      <c r="T42" s="35"/>
      <c r="U42" s="71"/>
      <c r="V42" s="71"/>
      <c r="W42" s="122"/>
      <c r="X42" s="297" t="str">
        <f>(O38+S38+E41+E42)/(P38+T38+E41)</f>
        <v>0</v>
      </c>
      <c r="Y42" s="296" t="s">
        <v>224</v>
      </c>
    </row>
    <row r="43" spans="1:42" customHeight="1" ht="30.75">
      <c r="A43" s="628"/>
      <c r="B43" s="40" t="s">
        <v>225</v>
      </c>
      <c r="C43" s="17"/>
      <c r="D43" s="110">
        <v>0.05</v>
      </c>
      <c r="E43" s="27" t="str">
        <f>E$4*D43</f>
        <v>0</v>
      </c>
      <c r="F43" s="123"/>
      <c r="G43" s="73"/>
      <c r="H43" s="73"/>
      <c r="I43" s="74"/>
      <c r="J43" s="75"/>
      <c r="K43" s="75"/>
      <c r="L43" s="73"/>
      <c r="M43" s="75"/>
      <c r="N43" s="75"/>
      <c r="O43" s="36"/>
      <c r="P43" s="36"/>
      <c r="Q43" s="73"/>
      <c r="R43" s="123"/>
      <c r="S43" s="36"/>
      <c r="T43" s="36"/>
      <c r="U43" s="73"/>
      <c r="V43" s="73"/>
      <c r="W43" s="123"/>
      <c r="X43" s="298" t="str">
        <f>(O38+S38+E41+E42+E43)/(P38+T38+E41+E43/2)</f>
        <v>0</v>
      </c>
      <c r="Y43" s="296" t="s">
        <v>226</v>
      </c>
    </row>
    <row r="44" spans="1:42" customHeight="1" ht="15.75" s="1" customFormat="1">
      <c r="A44" s="28"/>
      <c r="B44" s="29"/>
      <c r="C44" s="30"/>
      <c r="D44" s="107" t="str">
        <f>D38+D42+D43</f>
        <v>0</v>
      </c>
      <c r="E44" s="108" t="str">
        <f>E38+E41+E42+E43</f>
        <v>0</v>
      </c>
      <c r="F44" s="32"/>
      <c r="G44" s="32"/>
      <c r="H44" s="32"/>
      <c r="I44" s="33"/>
      <c r="J44" s="33"/>
      <c r="K44" s="33"/>
      <c r="L44" s="32"/>
      <c r="M44" s="33"/>
      <c r="N44" s="33"/>
      <c r="O44" s="31"/>
      <c r="P44" s="31"/>
      <c r="Q44" s="32"/>
      <c r="R44" s="32"/>
      <c r="S44" s="31"/>
      <c r="T44" s="31"/>
      <c r="U44" s="32"/>
      <c r="V44" s="32"/>
      <c r="W44" s="32"/>
      <c r="X44" s="299" t="str">
        <f>1/X43</f>
        <v>0</v>
      </c>
      <c r="Y44" s="300" t="s">
        <v>227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42" customHeight="1" ht="60">
      <c r="A45" s="10"/>
      <c r="B45" s="301"/>
      <c r="C45" s="106"/>
      <c r="D45" s="106"/>
      <c r="E45" s="111"/>
      <c r="F45" s="302"/>
      <c r="G45" s="302" t="s">
        <v>228</v>
      </c>
      <c r="H45" s="111"/>
      <c r="I45" s="302" t="s">
        <v>229</v>
      </c>
      <c r="J45" s="111"/>
      <c r="K45" s="302" t="s">
        <v>228</v>
      </c>
      <c r="L45" s="111"/>
      <c r="M45" s="302" t="s">
        <v>229</v>
      </c>
      <c r="N45" s="111"/>
      <c r="O45" s="302" t="s">
        <v>230</v>
      </c>
      <c r="P45" s="302" t="s">
        <v>231</v>
      </c>
      <c r="Q45" s="302" t="s">
        <v>228</v>
      </c>
      <c r="R45" s="302"/>
      <c r="S45" s="111"/>
      <c r="T45" s="111"/>
      <c r="U45" s="302" t="s">
        <v>229</v>
      </c>
      <c r="V45" s="302"/>
      <c r="W45" s="302"/>
      <c r="AK45" s="1"/>
    </row>
    <row r="46" spans="1:42">
      <c r="A46" s="303"/>
      <c r="B46" s="301" t="s">
        <v>232</v>
      </c>
      <c r="C46" s="304" t="s">
        <v>233</v>
      </c>
      <c r="D46" s="106"/>
      <c r="E46" s="111"/>
      <c r="F46" s="305"/>
      <c r="G46" s="112" t="str">
        <f>SUM(G12:G19)+SUM(G23:G24)+G26</f>
        <v>0</v>
      </c>
      <c r="H46" s="111"/>
      <c r="I46" s="112" t="str">
        <f>SUM(I12:I19)+SUM(I23:I24)+I26</f>
        <v>0</v>
      </c>
      <c r="J46" s="111"/>
      <c r="K46" s="112" t="str">
        <f>SUM(K12:K19)+SUM(K23:K24)+K26</f>
        <v>0</v>
      </c>
      <c r="L46" s="111"/>
      <c r="M46" s="112" t="str">
        <f>SUM(M12:M19)+SUM(M23:M24)+M26</f>
        <v>0</v>
      </c>
      <c r="N46" s="111"/>
      <c r="O46" s="306">
        <v>0.016</v>
      </c>
      <c r="P46" s="307" t="str">
        <f>(SUM(P12:P19)+SUM(P23:P24)+P26)*O46/Q46</f>
        <v>0</v>
      </c>
      <c r="Q46" s="305" t="str">
        <f>SUM(Q12:Q19)+SUM(Q23:Q24)+Q26</f>
        <v>0</v>
      </c>
      <c r="R46" s="305"/>
      <c r="S46" s="112"/>
      <c r="T46" s="112"/>
      <c r="U46" s="113" t="str">
        <f>SUM(U12:U19)+SUM(U23:U24)+U26</f>
        <v>0</v>
      </c>
      <c r="V46" s="113"/>
      <c r="W46" s="305"/>
      <c r="AB46" s="1"/>
      <c r="AC46" s="1"/>
      <c r="AD46" s="1"/>
      <c r="AE46" s="1"/>
      <c r="AF46" s="1"/>
      <c r="AG46" s="1"/>
      <c r="AH46" s="1"/>
      <c r="AI46" s="1"/>
      <c r="AJ46" s="1"/>
    </row>
    <row r="47" spans="1:42">
      <c r="A47" s="11"/>
      <c r="B47" s="301" t="s">
        <v>234</v>
      </c>
      <c r="C47" s="304" t="s">
        <v>235</v>
      </c>
      <c r="D47" s="106"/>
      <c r="E47" s="111"/>
      <c r="F47" s="305"/>
      <c r="G47" s="112" t="str">
        <f>SUM(G20:G22)</f>
        <v>0</v>
      </c>
      <c r="H47" s="111"/>
      <c r="I47" s="112" t="str">
        <f>SUM(I20:I22)</f>
        <v>0</v>
      </c>
      <c r="J47" s="111"/>
      <c r="K47" s="112" t="str">
        <f>SUM(K20:K22)</f>
        <v>0</v>
      </c>
      <c r="L47" s="111"/>
      <c r="M47" s="112" t="str">
        <f>SUM(M20:M22)</f>
        <v>0</v>
      </c>
      <c r="N47" s="111"/>
      <c r="O47" s="306">
        <v>0.021</v>
      </c>
      <c r="P47" s="307" t="str">
        <f>SUM(P20:P22)*O47/Q47</f>
        <v>0</v>
      </c>
      <c r="Q47" s="305" t="str">
        <f>SUM(Q20:Q22)</f>
        <v>0</v>
      </c>
      <c r="R47" s="305"/>
      <c r="S47" s="112"/>
      <c r="T47" s="112"/>
      <c r="U47" s="113" t="str">
        <f>SUM(U20:U22)</f>
        <v>0</v>
      </c>
      <c r="V47" s="113"/>
      <c r="W47" s="305"/>
    </row>
    <row r="48" spans="1:42">
      <c r="A48" s="11"/>
      <c r="B48" s="301" t="s">
        <v>236</v>
      </c>
      <c r="C48" s="304" t="s">
        <v>233</v>
      </c>
      <c r="D48" s="106"/>
      <c r="E48" s="111"/>
      <c r="F48" s="305"/>
      <c r="G48" s="112" t="str">
        <f>G27+G25</f>
        <v>0</v>
      </c>
      <c r="H48" s="111"/>
      <c r="I48" s="112" t="str">
        <f>I27+I25</f>
        <v>0</v>
      </c>
      <c r="J48" s="111"/>
      <c r="K48" s="112" t="str">
        <f>K27+K25</f>
        <v>0</v>
      </c>
      <c r="L48" s="111"/>
      <c r="M48" s="112" t="str">
        <f>M27+M25</f>
        <v>0</v>
      </c>
      <c r="N48" s="111"/>
      <c r="O48" s="306">
        <v>0.02</v>
      </c>
      <c r="P48" s="307" t="str">
        <f>(P27+P25)*O48/Q48</f>
        <v>0</v>
      </c>
      <c r="Q48" s="305" t="str">
        <f>Q27+Q25</f>
        <v>0</v>
      </c>
      <c r="R48" s="305"/>
      <c r="S48" s="112"/>
      <c r="T48" s="112"/>
      <c r="U48" s="113" t="str">
        <f>U27+U25</f>
        <v>0</v>
      </c>
      <c r="V48" s="113"/>
      <c r="W48" s="305"/>
    </row>
    <row r="49" spans="1:42">
      <c r="A49" s="11"/>
      <c r="B49" s="301" t="s">
        <v>237</v>
      </c>
      <c r="C49" s="304" t="s">
        <v>238</v>
      </c>
      <c r="D49" s="106"/>
      <c r="E49" s="111"/>
      <c r="F49" s="305"/>
      <c r="G49" s="112" t="str">
        <f>G29+G37+G30</f>
        <v>0</v>
      </c>
      <c r="H49" s="111"/>
      <c r="I49" s="112" t="str">
        <f>I29+I37+I30</f>
        <v>0</v>
      </c>
      <c r="J49" s="111"/>
      <c r="K49" s="112" t="str">
        <f>K29+K37+K30</f>
        <v>0</v>
      </c>
      <c r="L49" s="111"/>
      <c r="M49" s="112" t="str">
        <f>M29+M37+M30</f>
        <v>0</v>
      </c>
      <c r="N49" s="111"/>
      <c r="O49" s="306">
        <v>0.01</v>
      </c>
      <c r="P49" s="307" t="str">
        <f>(P29+P37+P30)*O49/Q49</f>
        <v>0</v>
      </c>
      <c r="Q49" s="305" t="str">
        <f>Q29+Q37+Q30</f>
        <v>0</v>
      </c>
      <c r="R49" s="305"/>
      <c r="S49" s="112"/>
      <c r="T49" s="112"/>
      <c r="U49" s="113" t="str">
        <f>U29+U37+U30</f>
        <v>0</v>
      </c>
      <c r="V49" s="113"/>
      <c r="W49" s="305"/>
    </row>
    <row r="50" spans="1:42" customHeight="1" ht="15.75">
      <c r="A50" s="11"/>
      <c r="B50" s="301" t="s">
        <v>239</v>
      </c>
      <c r="C50" s="304" t="s">
        <v>240</v>
      </c>
      <c r="D50" s="106"/>
      <c r="E50" s="111"/>
      <c r="F50" s="308"/>
      <c r="G50" s="309" t="str">
        <f>SUM(G31:G35)</f>
        <v>0</v>
      </c>
      <c r="H50" s="111"/>
      <c r="I50" s="309" t="str">
        <f>SUM(I31:I35)</f>
        <v>0</v>
      </c>
      <c r="J50" s="111"/>
      <c r="K50" s="309" t="str">
        <f>SUM(K31:K35)</f>
        <v>0</v>
      </c>
      <c r="L50" s="111"/>
      <c r="M50" s="309" t="str">
        <f>SUM(M31:M35)</f>
        <v>0</v>
      </c>
      <c r="N50" s="111"/>
      <c r="O50" s="310">
        <v>0</v>
      </c>
      <c r="P50" s="311" t="str">
        <f>SUM(P31:P35)*O50/Q50</f>
        <v>0</v>
      </c>
      <c r="Q50" s="312" t="str">
        <f>SUM(Q31:Q35)</f>
        <v>0</v>
      </c>
      <c r="R50" s="308"/>
      <c r="S50" s="313"/>
      <c r="T50" s="313"/>
      <c r="U50" s="312" t="str">
        <f>SUM(U31:U35)</f>
        <v>0</v>
      </c>
      <c r="V50" s="308"/>
      <c r="W50" s="308"/>
    </row>
    <row r="51" spans="1:42">
      <c r="A51" s="11"/>
      <c r="B51" s="111"/>
      <c r="C51" s="106"/>
      <c r="D51" s="106"/>
      <c r="E51" s="111"/>
      <c r="F51" s="113"/>
      <c r="G51" s="112" t="str">
        <f>SUM(G46:G50)</f>
        <v>0</v>
      </c>
      <c r="H51" s="111"/>
      <c r="I51" s="112" t="str">
        <f>SUM(I46:I50)</f>
        <v>0</v>
      </c>
      <c r="J51" s="111"/>
      <c r="K51" s="112" t="str">
        <f>SUM(K46:K50)</f>
        <v>0</v>
      </c>
      <c r="L51" s="111"/>
      <c r="M51" s="112" t="str">
        <f>SUM(M46:M50)</f>
        <v>0</v>
      </c>
      <c r="N51" s="111"/>
      <c r="O51" s="112" t="str">
        <f>SUM(O46:O50)</f>
        <v>0</v>
      </c>
      <c r="P51" s="114" t="str">
        <f>SUM(P46:P50)</f>
        <v>0</v>
      </c>
      <c r="Q51" s="113" t="str">
        <f>SUM(Q46:Q50)</f>
        <v>0</v>
      </c>
      <c r="R51" s="113"/>
      <c r="S51" s="112"/>
      <c r="T51" s="112"/>
      <c r="U51" s="113" t="str">
        <f>SUM(U46:U50)</f>
        <v>0</v>
      </c>
      <c r="V51" s="113"/>
      <c r="W51" s="113"/>
    </row>
    <row r="52" spans="1:42">
      <c r="A52" s="11"/>
      <c r="P52" s="92"/>
      <c r="S52" s="116"/>
    </row>
    <row r="53" spans="1:42">
      <c r="A53" s="11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</row>
    <row r="55" spans="1:42">
      <c r="A55" s="10"/>
    </row>
    <row r="56" spans="1:42">
      <c r="C56" s="12"/>
      <c r="D56" s="12"/>
    </row>
  </sheetData>
  <sheetProtection password="C054"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L23:AM23"/>
    <mergeCell ref="AN23:AO23"/>
    <mergeCell ref="A3:B3"/>
    <mergeCell ref="A4:B4"/>
    <mergeCell ref="A5:B5"/>
    <mergeCell ref="A7:B7"/>
    <mergeCell ref="A8:B8"/>
    <mergeCell ref="A6:B6"/>
    <mergeCell ref="G10:N10"/>
    <mergeCell ref="O10:V10"/>
    <mergeCell ref="A12:A19"/>
    <mergeCell ref="A9:B9"/>
    <mergeCell ref="A23:A24"/>
    <mergeCell ref="AB17:AB20"/>
    <mergeCell ref="A42:A43"/>
    <mergeCell ref="G39:I39"/>
    <mergeCell ref="K39:M39"/>
    <mergeCell ref="O39:P39"/>
    <mergeCell ref="S39:T39"/>
    <mergeCell ref="K40:M40"/>
    <mergeCell ref="O40:P40"/>
    <mergeCell ref="S40:T40"/>
    <mergeCell ref="A31:A37"/>
    <mergeCell ref="AG11:AH11"/>
    <mergeCell ref="AC11:AD11"/>
    <mergeCell ref="AB21:AB24"/>
    <mergeCell ref="A20:A21"/>
    <mergeCell ref="AB12:AB16"/>
    <mergeCell ref="AB29:AB33"/>
    <mergeCell ref="AB25:AB28"/>
  </mergeCells>
  <printOptions gridLines="false" gridLinesSet="true"/>
  <pageMargins left="0.23622047244094" right="0.23622047244094" top="0.31496062992126" bottom="0.23622047244094" header="0.15748031496063" footer="0.15748031496063"/>
  <pageSetup paperSize="8" orientation="landscape" scale="58" fitToHeight="1" fitToWidth="2"/>
  <headerFooter differentOddEven="false" differentFirst="false" scaleWithDoc="true" alignWithMargins="true">
    <oddHeader/>
    <oddFooter>&amp;L&amp;F&amp;A&amp;R&amp;D&amp;T</oddFooter>
    <evenHeader/>
    <evenFooter/>
    <firstHeader/>
    <firstFooter/>
  </headerFooter>
  <colBreaks count="1" manualBreakCount="1">
    <brk id="25" man="1"/>
  </colBreaks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P56"/>
  <sheetViews>
    <sheetView tabSelected="0" workbookViewId="0" zoomScale="80" zoomScaleNormal="80" showGridLines="true" showRowColHeaders="1">
      <pane xSplit="5" ySplit="14" topLeftCell="F15" activePane="bottomRight" state="frozen"/>
      <selection pane="topRight"/>
      <selection pane="bottomLeft"/>
      <selection pane="bottomRight" activeCell="F15" sqref="F15"/>
    </sheetView>
  </sheetViews>
  <sheetFormatPr defaultRowHeight="14.4" defaultColWidth="19" outlineLevelRow="0" outlineLevelCol="0"/>
  <cols>
    <col min="1" max="1" width="22" customWidth="true" style="0"/>
    <col min="2" max="2" width="48.140625" customWidth="true" style="0"/>
    <col min="3" max="3" width="5.85546875" customWidth="true" style="7"/>
    <col min="4" max="4" width="12.85546875" customWidth="true" style="7"/>
    <col min="5" max="5" width="13.7109375" customWidth="true" style="0"/>
    <col min="6" max="6" width="11.5703125" customWidth="true" style="0"/>
    <col min="7" max="7" width="12.42578125" customWidth="true" style="0"/>
    <col min="8" max="8" width="5.28515625" customWidth="true" style="0"/>
    <col min="9" max="9" width="12.85546875" customWidth="true" style="0"/>
    <col min="10" max="10" width="5.28515625" customWidth="true" style="0"/>
    <col min="11" max="11" width="12.85546875" customWidth="true" style="0"/>
    <col min="12" max="12" width="7.140625" customWidth="true" style="0"/>
    <col min="13" max="13" width="12.85546875" customWidth="true" style="0"/>
    <col min="14" max="14" width="5.28515625" customWidth="true" style="0"/>
    <col min="15" max="15" width="11.42578125" customWidth="true" style="0"/>
    <col min="16" max="16" width="12.85546875" customWidth="true" style="0"/>
    <col min="17" max="17" width="7.7109375" customWidth="true" style="0"/>
    <col min="18" max="18" width="11.5703125" customWidth="true" style="0"/>
    <col min="19" max="19" width="13.42578125" customWidth="true" style="0"/>
    <col min="20" max="20" width="11.85546875" customWidth="true" style="0"/>
    <col min="21" max="21" width="7.7109375" customWidth="true" style="0"/>
    <col min="22" max="22" width="11.28515625" customWidth="true" style="0"/>
    <col min="23" max="23" width="11.5703125" customWidth="true" style="0"/>
    <col min="24" max="24" width="26.28515625" customWidth="true" style="0"/>
    <col min="28" max="28" width="17.28515625" customWidth="true" style="0"/>
    <col min="29" max="29" width="8.140625" customWidth="true" style="0"/>
    <col min="30" max="30" width="36.28515625" customWidth="true" style="0"/>
    <col min="31" max="31" width="11.7109375" customWidth="true" style="0"/>
    <col min="32" max="32" width="11.140625" customWidth="true" style="0"/>
    <col min="33" max="33" width="6.85546875" customWidth="true" style="0"/>
    <col min="34" max="34" width="42.7109375" customWidth="true" style="0"/>
    <col min="35" max="35" width="11.7109375" customWidth="true" style="0"/>
    <col min="36" max="36" width="18.28515625" customWidth="true" style="0"/>
    <col min="37" max="37" width="20.140625" customWidth="true" style="0"/>
    <col min="38" max="38" width="13.85546875" customWidth="true" style="0"/>
    <col min="39" max="39" width="14.5703125" customWidth="true" style="0"/>
    <col min="40" max="40" width="13.7109375" customWidth="true" style="0"/>
    <col min="41" max="41" width="14.5703125" customWidth="true" style="0"/>
    <col min="42" max="42" width="11" customWidth="true" style="0"/>
  </cols>
  <sheetData>
    <row r="1" spans="1:42" customHeight="1" ht="26.25">
      <c r="A1" s="273" t="s">
        <v>241</v>
      </c>
      <c r="B1" s="273"/>
      <c r="C1" s="273"/>
      <c r="D1" s="273"/>
      <c r="E1" s="273"/>
      <c r="F1" s="273"/>
      <c r="G1" s="314" t="s">
        <v>242</v>
      </c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</row>
    <row r="2" spans="1:42" customHeight="1" ht="15.75">
      <c r="P2" s="274"/>
      <c r="S2" s="274"/>
      <c r="AM2" s="274"/>
      <c r="AN2" s="275"/>
    </row>
    <row r="3" spans="1:42" customHeight="1" ht="30.75">
      <c r="A3" s="644" t="s">
        <v>141</v>
      </c>
      <c r="B3" s="645"/>
      <c r="C3" s="4"/>
      <c r="D3" s="4"/>
      <c r="E3" s="275" t="s">
        <v>142</v>
      </c>
      <c r="P3" s="274"/>
      <c r="S3" s="274"/>
      <c r="AL3" s="415" t="s">
        <v>143</v>
      </c>
      <c r="AM3" s="416"/>
      <c r="AN3" s="417" t="s">
        <v>144</v>
      </c>
    </row>
    <row r="4" spans="1:42">
      <c r="A4" s="646" t="s">
        <v>13</v>
      </c>
      <c r="B4" s="647"/>
      <c r="C4" s="5"/>
      <c r="D4" s="5"/>
      <c r="E4" s="228" t="str">
        <f>'Indian Project'!R6</f>
        <v>0</v>
      </c>
      <c r="F4" s="275"/>
      <c r="G4" s="275"/>
      <c r="H4" s="275"/>
      <c r="L4" s="275"/>
      <c r="P4" s="274"/>
      <c r="Q4" s="275"/>
      <c r="R4" s="275"/>
      <c r="S4" s="274"/>
      <c r="T4" s="274"/>
      <c r="U4" s="275"/>
      <c r="V4" s="275"/>
      <c r="W4" s="275"/>
      <c r="AH4" s="405" t="s">
        <v>27</v>
      </c>
      <c r="AI4" s="403" t="str">
        <f>'Indian Project'!R16</f>
        <v>0</v>
      </c>
      <c r="AJ4" s="404"/>
      <c r="AK4" s="407" t="s">
        <v>31</v>
      </c>
      <c r="AL4" s="412">
        <v>0.15</v>
      </c>
      <c r="AM4" s="414"/>
      <c r="AN4" s="413">
        <v>0.66</v>
      </c>
    </row>
    <row r="5" spans="1:42">
      <c r="A5" s="648" t="s">
        <v>14</v>
      </c>
      <c r="B5" s="649"/>
      <c r="C5" s="98"/>
      <c r="D5" s="98"/>
      <c r="E5" s="276" t="str">
        <f>E4*90%</f>
        <v>0</v>
      </c>
      <c r="F5" s="275"/>
      <c r="G5" s="275"/>
      <c r="H5" s="275"/>
      <c r="L5" s="275"/>
      <c r="P5" s="274"/>
      <c r="Q5" s="275"/>
      <c r="R5" s="275"/>
      <c r="S5" s="274"/>
      <c r="T5" s="274"/>
      <c r="U5" s="275"/>
      <c r="V5" s="275"/>
      <c r="W5" s="275"/>
      <c r="AH5" s="405" t="s">
        <v>30</v>
      </c>
      <c r="AI5" s="403" t="str">
        <f>'Indian Project'!R18</f>
        <v>0</v>
      </c>
      <c r="AJ5" s="404"/>
      <c r="AK5" s="407" t="s">
        <v>45</v>
      </c>
      <c r="AL5" s="412">
        <v>0.18</v>
      </c>
      <c r="AM5" s="414"/>
      <c r="AN5" s="413">
        <v>0.63</v>
      </c>
    </row>
    <row r="6" spans="1:42" customHeight="1" ht="15.75">
      <c r="A6" s="648" t="s">
        <v>17</v>
      </c>
      <c r="B6" s="649"/>
      <c r="C6" s="97"/>
      <c r="D6" s="98"/>
      <c r="E6" s="229" t="str">
        <f>-AF6-AF7</f>
        <v>0</v>
      </c>
      <c r="F6" s="227" t="s">
        <v>145</v>
      </c>
      <c r="G6" s="227"/>
      <c r="H6" s="224"/>
      <c r="I6" s="224"/>
      <c r="J6" s="224"/>
      <c r="K6" s="227"/>
      <c r="L6" s="224"/>
      <c r="M6" s="224"/>
      <c r="N6" s="224"/>
      <c r="O6" s="226"/>
      <c r="P6" s="227"/>
      <c r="Q6" s="226"/>
      <c r="R6" s="226"/>
      <c r="S6" s="227"/>
      <c r="T6" s="224"/>
      <c r="U6" s="224"/>
      <c r="V6" s="224"/>
      <c r="W6" s="224"/>
      <c r="X6" s="224"/>
      <c r="Y6" s="224"/>
      <c r="Z6" s="225"/>
      <c r="AC6" s="478" t="s">
        <v>43</v>
      </c>
      <c r="AD6" s="479" t="s">
        <v>44</v>
      </c>
      <c r="AE6" s="479"/>
      <c r="AF6" s="230" t="str">
        <f>'Indian Project'!R12</f>
        <v>0</v>
      </c>
      <c r="AK6" s="407" t="s">
        <v>39</v>
      </c>
      <c r="AL6" s="412">
        <v>0.065</v>
      </c>
      <c r="AM6" s="414"/>
      <c r="AN6" s="413">
        <v>0.025</v>
      </c>
    </row>
    <row r="7" spans="1:42">
      <c r="A7" s="648" t="s">
        <v>18</v>
      </c>
      <c r="B7" s="649"/>
      <c r="C7" s="98"/>
      <c r="D7" s="98"/>
      <c r="E7" s="276" t="str">
        <f>E4+E6</f>
        <v>0</v>
      </c>
      <c r="F7" s="275"/>
      <c r="G7" s="275"/>
      <c r="H7" s="275"/>
      <c r="L7" s="275"/>
      <c r="P7" s="274"/>
      <c r="Q7" s="275"/>
      <c r="R7" s="275"/>
      <c r="S7" s="274"/>
      <c r="T7" s="274"/>
      <c r="U7" s="275"/>
      <c r="V7" s="275"/>
      <c r="W7" s="275"/>
      <c r="AC7" s="478" t="s">
        <v>104</v>
      </c>
      <c r="AD7" s="479" t="s">
        <v>105</v>
      </c>
      <c r="AE7" s="479"/>
      <c r="AF7" s="230" t="str">
        <f>'Indian Project'!R13</f>
        <v>0</v>
      </c>
      <c r="AK7" s="407" t="s">
        <v>146</v>
      </c>
      <c r="AL7" s="412">
        <v>0</v>
      </c>
      <c r="AM7" s="414"/>
      <c r="AN7" s="413">
        <v>0</v>
      </c>
    </row>
    <row r="8" spans="1:42">
      <c r="A8" s="660" t="s">
        <v>14</v>
      </c>
      <c r="B8" s="661"/>
      <c r="C8" s="98"/>
      <c r="D8" s="98"/>
      <c r="E8" s="276" t="str">
        <f>E7*0.9</f>
        <v>0</v>
      </c>
      <c r="F8" s="275"/>
      <c r="G8" s="275"/>
      <c r="H8" s="275"/>
      <c r="L8" s="275"/>
      <c r="P8" s="274"/>
      <c r="Q8" s="275"/>
      <c r="R8" s="275"/>
      <c r="S8" s="274"/>
      <c r="T8" s="274"/>
      <c r="U8" s="275"/>
      <c r="V8" s="275"/>
      <c r="W8" s="275"/>
      <c r="AN8" s="275"/>
    </row>
    <row r="9" spans="1:42" customHeight="1" ht="15.75">
      <c r="A9" s="653" t="s">
        <v>148</v>
      </c>
      <c r="B9" s="654"/>
      <c r="C9" s="6"/>
      <c r="D9" s="6"/>
      <c r="E9" s="277" t="str">
        <f>P38+T38</f>
        <v>0</v>
      </c>
      <c r="F9" s="275"/>
      <c r="G9" s="275"/>
      <c r="H9" s="275"/>
      <c r="L9" s="275"/>
      <c r="Q9" s="275"/>
      <c r="R9" s="275"/>
      <c r="U9" s="275"/>
      <c r="V9" s="275"/>
      <c r="W9" s="275"/>
      <c r="AN9" s="275"/>
    </row>
    <row r="10" spans="1:42" customHeight="1" ht="15.75" s="1" customFormat="1">
      <c r="A10" s="49"/>
      <c r="B10" s="50"/>
      <c r="C10" s="49"/>
      <c r="D10" s="32" t="str">
        <f>(E9+E41-E5+E43/2)/E4</f>
        <v>0</v>
      </c>
      <c r="E10" s="278" t="str">
        <f>E9/E8</f>
        <v>0</v>
      </c>
      <c r="F10" s="279"/>
      <c r="G10" s="650" t="s">
        <v>149</v>
      </c>
      <c r="H10" s="651"/>
      <c r="I10" s="651"/>
      <c r="J10" s="651"/>
      <c r="K10" s="651"/>
      <c r="L10" s="651"/>
      <c r="M10" s="651"/>
      <c r="N10" s="652"/>
      <c r="O10" s="650" t="s">
        <v>150</v>
      </c>
      <c r="P10" s="651"/>
      <c r="Q10" s="651"/>
      <c r="R10" s="651"/>
      <c r="S10" s="651"/>
      <c r="T10" s="651"/>
      <c r="U10" s="651"/>
      <c r="V10" s="652"/>
      <c r="W10" s="279"/>
    </row>
    <row r="11" spans="1:42" customHeight="1" ht="48.75">
      <c r="A11" s="51" t="s">
        <v>3</v>
      </c>
      <c r="B11" s="52" t="s">
        <v>151</v>
      </c>
      <c r="C11" s="52" t="s">
        <v>152</v>
      </c>
      <c r="D11" s="52" t="s">
        <v>153</v>
      </c>
      <c r="E11" s="222" t="s">
        <v>7</v>
      </c>
      <c r="F11" s="137" t="s">
        <v>154</v>
      </c>
      <c r="G11" s="53" t="s">
        <v>155</v>
      </c>
      <c r="H11" s="77" t="s">
        <v>156</v>
      </c>
      <c r="I11" s="54" t="s">
        <v>157</v>
      </c>
      <c r="J11" s="84" t="s">
        <v>156</v>
      </c>
      <c r="K11" s="53" t="s">
        <v>158</v>
      </c>
      <c r="L11" s="77" t="s">
        <v>156</v>
      </c>
      <c r="M11" s="54" t="s">
        <v>159</v>
      </c>
      <c r="N11" s="84" t="s">
        <v>156</v>
      </c>
      <c r="O11" s="53" t="s">
        <v>160</v>
      </c>
      <c r="P11" s="53" t="s">
        <v>161</v>
      </c>
      <c r="Q11" s="77" t="s">
        <v>156</v>
      </c>
      <c r="R11" s="137" t="s">
        <v>162</v>
      </c>
      <c r="S11" s="54" t="s">
        <v>163</v>
      </c>
      <c r="T11" s="54" t="s">
        <v>164</v>
      </c>
      <c r="U11" s="84" t="s">
        <v>156</v>
      </c>
      <c r="V11" s="137" t="s">
        <v>162</v>
      </c>
      <c r="W11" s="137" t="s">
        <v>165</v>
      </c>
      <c r="X11" s="444" t="s">
        <v>166</v>
      </c>
      <c r="AB11" s="482" t="s">
        <v>167</v>
      </c>
      <c r="AC11" s="614" t="s">
        <v>168</v>
      </c>
      <c r="AD11" s="614"/>
      <c r="AE11" s="53" t="s">
        <v>169</v>
      </c>
      <c r="AF11" s="53" t="s">
        <v>170</v>
      </c>
      <c r="AG11" s="613" t="s">
        <v>171</v>
      </c>
      <c r="AH11" s="613"/>
      <c r="AI11" s="54" t="s">
        <v>169</v>
      </c>
      <c r="AJ11" s="444" t="s">
        <v>170</v>
      </c>
    </row>
    <row r="12" spans="1:42">
      <c r="A12" s="610" t="s">
        <v>10</v>
      </c>
      <c r="B12" s="39" t="s">
        <v>172</v>
      </c>
      <c r="C12" s="15">
        <v>1</v>
      </c>
      <c r="D12" s="42">
        <v>0</v>
      </c>
      <c r="E12" s="16" t="s">
        <v>173</v>
      </c>
      <c r="F12" s="134"/>
      <c r="G12" s="94"/>
      <c r="H12" s="128"/>
      <c r="I12" s="94"/>
      <c r="J12" s="128"/>
      <c r="K12" s="94"/>
      <c r="L12" s="128"/>
      <c r="M12" s="94"/>
      <c r="N12" s="128"/>
      <c r="O12" s="55"/>
      <c r="P12" s="55"/>
      <c r="Q12" s="128"/>
      <c r="R12" s="134"/>
      <c r="S12" s="55"/>
      <c r="T12" s="55"/>
      <c r="U12" s="128"/>
      <c r="V12" s="134"/>
      <c r="W12" s="134"/>
      <c r="X12" s="445"/>
      <c r="Y12" s="281"/>
      <c r="AB12" s="619" t="s">
        <v>174</v>
      </c>
      <c r="AC12" s="322" t="s">
        <v>65</v>
      </c>
      <c r="AD12" s="323" t="s">
        <v>66</v>
      </c>
      <c r="AE12" s="324" t="str">
        <f>($O$14+$O$15+$O$16+$O$17+$O$18+$O$19+$O$23+$O$26+$O$24)*60%</f>
        <v>0</v>
      </c>
      <c r="AF12" s="324" t="str">
        <f>($P$14+$P$15+$P$16+$P$17+$P$18++$P$19+$P$23+$P$26+$P$24)*60%</f>
        <v>0</v>
      </c>
      <c r="AG12" s="322" t="s">
        <v>67</v>
      </c>
      <c r="AH12" s="323" t="s">
        <v>68</v>
      </c>
      <c r="AI12" s="365" t="str">
        <f>$S$14</f>
        <v>0</v>
      </c>
      <c r="AJ12" s="365" t="str">
        <f>$T$14</f>
        <v>0</v>
      </c>
    </row>
    <row r="13" spans="1:42">
      <c r="A13" s="611"/>
      <c r="B13" s="70" t="s">
        <v>175</v>
      </c>
      <c r="C13" s="8" t="s">
        <v>176</v>
      </c>
      <c r="D13" s="43">
        <v>0</v>
      </c>
      <c r="E13" s="2" t="s">
        <v>173</v>
      </c>
      <c r="F13" s="129"/>
      <c r="G13" s="9"/>
      <c r="H13" s="78"/>
      <c r="I13" s="9"/>
      <c r="J13" s="78"/>
      <c r="K13" s="9"/>
      <c r="L13" s="78"/>
      <c r="M13" s="9"/>
      <c r="N13" s="78"/>
      <c r="O13" s="45"/>
      <c r="P13" s="45"/>
      <c r="Q13" s="78"/>
      <c r="R13" s="129"/>
      <c r="S13" s="45"/>
      <c r="T13" s="45"/>
      <c r="U13" s="78"/>
      <c r="V13" s="129"/>
      <c r="W13" s="129"/>
      <c r="X13" s="446"/>
      <c r="AB13" s="619"/>
      <c r="AC13" s="322" t="s">
        <v>69</v>
      </c>
      <c r="AD13" s="323" t="s">
        <v>70</v>
      </c>
      <c r="AE13" s="324" t="str">
        <f>($O$14+$O$15+$O$16+$O$17+$O$18+$O$23+$O$26+$O$24)*15%</f>
        <v>0</v>
      </c>
      <c r="AF13" s="324" t="str">
        <f>($P$14+$P$15+$P$16+$P$17+$P$18+$P$23+$P$26+$P$24)*15%</f>
        <v>0</v>
      </c>
      <c r="AG13" s="322" t="s">
        <v>71</v>
      </c>
      <c r="AH13" s="323" t="s">
        <v>72</v>
      </c>
      <c r="AI13" s="365" t="str">
        <f>$S$15</f>
        <v>0</v>
      </c>
      <c r="AJ13" s="365" t="str">
        <f>$T$15</f>
        <v>0</v>
      </c>
    </row>
    <row r="14" spans="1:42">
      <c r="A14" s="611"/>
      <c r="B14" s="70" t="s">
        <v>177</v>
      </c>
      <c r="C14" s="8">
        <v>2</v>
      </c>
      <c r="D14" s="43">
        <v>0.0045</v>
      </c>
      <c r="E14" s="2" t="str">
        <f>E$7*D14</f>
        <v>0</v>
      </c>
      <c r="F14" s="130" t="str">
        <f>E14/$E$22</f>
        <v>0</v>
      </c>
      <c r="G14" s="13">
        <v>0.0045</v>
      </c>
      <c r="H14" s="79" t="str">
        <f>G14/$G$38</f>
        <v>0</v>
      </c>
      <c r="I14" s="9"/>
      <c r="J14" s="9"/>
      <c r="K14" s="13">
        <v>0.004</v>
      </c>
      <c r="L14" s="117" t="str">
        <f>K14/$K$38</f>
        <v>0</v>
      </c>
      <c r="M14" s="14">
        <v>0.01</v>
      </c>
      <c r="N14" s="85" t="str">
        <f>M14/$M$38</f>
        <v>0</v>
      </c>
      <c r="O14" s="46" t="str">
        <f>G14*$E$7</f>
        <v>0</v>
      </c>
      <c r="P14" s="46" t="str">
        <f>K14*$E$7+O14</f>
        <v>0</v>
      </c>
      <c r="Q14" s="79" t="str">
        <f>P14/$P$38</f>
        <v>0</v>
      </c>
      <c r="R14" s="130" t="str">
        <f>($R$22/$Q$22)*Q14</f>
        <v>0</v>
      </c>
      <c r="S14" s="45"/>
      <c r="T14" s="47" t="str">
        <f>M14*$E$7+S14</f>
        <v>0</v>
      </c>
      <c r="U14" s="85" t="str">
        <f>T14/$T$38</f>
        <v>0</v>
      </c>
      <c r="V14" s="130" t="str">
        <f>($V$22/$U$22)*U14</f>
        <v>0</v>
      </c>
      <c r="W14" s="130" t="str">
        <f>(P14+T14)/($P$22+$T$22)</f>
        <v>0</v>
      </c>
      <c r="X14" s="446"/>
      <c r="AB14" s="619"/>
      <c r="AC14" s="322" t="s">
        <v>73</v>
      </c>
      <c r="AD14" s="323" t="s">
        <v>74</v>
      </c>
      <c r="AE14" s="324" t="str">
        <f>($O$14+$O$15+$O$16+$O$17+$O$18+$O$23+$O$26+$O$24)*25%+$O$19*40%</f>
        <v>0</v>
      </c>
      <c r="AF14" s="324" t="str">
        <f>($P$14+$P$15+$P$16+$P$17+$P$18+$P$23+$P$26+$P$24)*25%+$P$19*40%</f>
        <v>0</v>
      </c>
      <c r="AG14" s="322" t="s">
        <v>75</v>
      </c>
      <c r="AH14" s="323" t="s">
        <v>76</v>
      </c>
      <c r="AI14" s="365" t="str">
        <f>$S$18</f>
        <v>0</v>
      </c>
      <c r="AJ14" s="365" t="str">
        <f>$T$18</f>
        <v>0</v>
      </c>
    </row>
    <row r="15" spans="1:42" customHeight="1" ht="24">
      <c r="A15" s="611"/>
      <c r="B15" s="70" t="s">
        <v>243</v>
      </c>
      <c r="C15" s="8">
        <v>3</v>
      </c>
      <c r="D15" s="43">
        <v>0.0045</v>
      </c>
      <c r="E15" s="2" t="str">
        <f>E$7*D15</f>
        <v>0</v>
      </c>
      <c r="F15" s="130" t="str">
        <f>E15/$E$22</f>
        <v>0</v>
      </c>
      <c r="G15" s="13">
        <v>0.0045</v>
      </c>
      <c r="H15" s="79" t="str">
        <f>G15/$G$38</f>
        <v>0</v>
      </c>
      <c r="I15" s="14">
        <v>0</v>
      </c>
      <c r="J15" s="85" t="str">
        <f>I15/$I$38</f>
        <v>0</v>
      </c>
      <c r="K15" s="13">
        <v>0</v>
      </c>
      <c r="L15" s="117" t="str">
        <f>K15/$K$38</f>
        <v>0</v>
      </c>
      <c r="M15" s="14">
        <v>0</v>
      </c>
      <c r="N15" s="85" t="str">
        <f>M15/$M$38</f>
        <v>0</v>
      </c>
      <c r="O15" s="46" t="str">
        <f>G15*$E$7</f>
        <v>0</v>
      </c>
      <c r="P15" s="46" t="str">
        <f>K15*$E$7+O15</f>
        <v>0</v>
      </c>
      <c r="Q15" s="79" t="str">
        <f>P15/$P$38</f>
        <v>0</v>
      </c>
      <c r="R15" s="130" t="str">
        <f>($R$22/$Q$22)*Q15</f>
        <v>0</v>
      </c>
      <c r="S15" s="47" t="str">
        <f>I15*$E$7</f>
        <v>0</v>
      </c>
      <c r="T15" s="47" t="str">
        <f>M15*$E$7+S15</f>
        <v>0</v>
      </c>
      <c r="U15" s="85" t="str">
        <f>T15/$T$38</f>
        <v>0</v>
      </c>
      <c r="V15" s="130" t="str">
        <f>($V$22/$U$22)*U15</f>
        <v>0</v>
      </c>
      <c r="W15" s="130" t="str">
        <f>(P15+T15)/($P$22+$T$22)</f>
        <v>0</v>
      </c>
      <c r="X15" s="447"/>
      <c r="AB15" s="619"/>
      <c r="AC15" s="322"/>
      <c r="AD15" s="323"/>
      <c r="AE15" s="324"/>
      <c r="AF15" s="324"/>
      <c r="AG15" s="322" t="s">
        <v>77</v>
      </c>
      <c r="AH15" s="323" t="s">
        <v>78</v>
      </c>
      <c r="AI15" s="365" t="str">
        <f>$S$26+$S$24</f>
        <v>0</v>
      </c>
      <c r="AJ15" s="365" t="str">
        <f>$T$26+$T$24</f>
        <v>0</v>
      </c>
    </row>
    <row r="16" spans="1:42" customHeight="1" ht="24.75">
      <c r="A16" s="611"/>
      <c r="B16" s="70" t="s">
        <v>179</v>
      </c>
      <c r="C16" s="8">
        <v>4</v>
      </c>
      <c r="D16" s="43">
        <v>0.0018</v>
      </c>
      <c r="E16" s="2" t="str">
        <f>E$7*D16</f>
        <v>0</v>
      </c>
      <c r="F16" s="130" t="str">
        <f>E16/$E$22</f>
        <v>0</v>
      </c>
      <c r="G16" s="13">
        <v>0.0018</v>
      </c>
      <c r="H16" s="79" t="str">
        <f>G16/$G$38</f>
        <v>0</v>
      </c>
      <c r="I16" s="48"/>
      <c r="J16" s="9"/>
      <c r="K16" s="13">
        <v>0.0015</v>
      </c>
      <c r="L16" s="117" t="str">
        <f>K16/$K$38</f>
        <v>0</v>
      </c>
      <c r="M16" s="48"/>
      <c r="N16" s="9"/>
      <c r="O16" s="46" t="str">
        <f>G16*$E$7</f>
        <v>0</v>
      </c>
      <c r="P16" s="46" t="str">
        <f>K16*$E$7+O16</f>
        <v>0</v>
      </c>
      <c r="Q16" s="79" t="str">
        <f>P16/$P$38</f>
        <v>0</v>
      </c>
      <c r="R16" s="130" t="str">
        <f>($R$22/$Q$22)*Q16</f>
        <v>0</v>
      </c>
      <c r="S16" s="45"/>
      <c r="T16" s="45"/>
      <c r="U16" s="45"/>
      <c r="V16" s="144"/>
      <c r="W16" s="130" t="str">
        <f>(P16+T16)/($P$22+$T$22)</f>
        <v>0</v>
      </c>
      <c r="X16" s="446"/>
      <c r="AB16" s="620"/>
      <c r="AC16" s="325"/>
      <c r="AD16" s="326"/>
      <c r="AE16" s="362"/>
      <c r="AF16" s="362"/>
      <c r="AG16" s="325" t="s">
        <v>79</v>
      </c>
      <c r="AH16" s="326" t="s">
        <v>80</v>
      </c>
      <c r="AI16" s="366" t="str">
        <f>$S$19</f>
        <v>0</v>
      </c>
      <c r="AJ16" s="366" t="str">
        <f>$T$19</f>
        <v>0</v>
      </c>
    </row>
    <row r="17" spans="1:42">
      <c r="A17" s="611"/>
      <c r="B17" s="70" t="s">
        <v>180</v>
      </c>
      <c r="C17" s="8">
        <v>4</v>
      </c>
      <c r="D17" s="43">
        <v>0.0067</v>
      </c>
      <c r="E17" s="2" t="str">
        <f>E$7*D17</f>
        <v>0</v>
      </c>
      <c r="F17" s="130" t="str">
        <f>E17/$E$22</f>
        <v>0</v>
      </c>
      <c r="G17" s="13">
        <v>0.0067</v>
      </c>
      <c r="H17" s="79" t="str">
        <f>G17/$G$38</f>
        <v>0</v>
      </c>
      <c r="I17" s="48"/>
      <c r="J17" s="9"/>
      <c r="K17" s="13">
        <v>0</v>
      </c>
      <c r="L17" s="117" t="str">
        <f>K17/$K$38</f>
        <v>0</v>
      </c>
      <c r="M17" s="48"/>
      <c r="N17" s="9"/>
      <c r="O17" s="46" t="str">
        <f>G17*$E$7</f>
        <v>0</v>
      </c>
      <c r="P17" s="46" t="str">
        <f>K17*$E$7+O17</f>
        <v>0</v>
      </c>
      <c r="Q17" s="79" t="str">
        <f>P17/$P$38</f>
        <v>0</v>
      </c>
      <c r="R17" s="130" t="str">
        <f>($R$22/$Q$22)*Q17</f>
        <v>0</v>
      </c>
      <c r="S17" s="45"/>
      <c r="T17" s="45"/>
      <c r="U17" s="45"/>
      <c r="V17" s="144"/>
      <c r="W17" s="130" t="str">
        <f>(P17+T17)/($P$22+$T$22)</f>
        <v>0</v>
      </c>
      <c r="X17" s="448"/>
      <c r="AB17" s="657" t="s">
        <v>181</v>
      </c>
      <c r="AC17" s="327" t="s">
        <v>81</v>
      </c>
      <c r="AD17" s="328" t="s">
        <v>82</v>
      </c>
      <c r="AE17" s="378" t="str">
        <f>$O$25</f>
        <v>0</v>
      </c>
      <c r="AF17" s="378" t="str">
        <f>$P$25</f>
        <v>0</v>
      </c>
      <c r="AG17" s="327"/>
      <c r="AH17" s="328"/>
      <c r="AI17" s="378"/>
      <c r="AJ17" s="329"/>
    </row>
    <row r="18" spans="1:42" customHeight="1" ht="15">
      <c r="A18" s="611"/>
      <c r="B18" s="70" t="s">
        <v>182</v>
      </c>
      <c r="C18" s="8">
        <v>5</v>
      </c>
      <c r="D18" s="43">
        <v>0.023</v>
      </c>
      <c r="E18" s="2" t="str">
        <f>E$7*D18</f>
        <v>0</v>
      </c>
      <c r="F18" s="130" t="str">
        <f>E18/$E$22</f>
        <v>0</v>
      </c>
      <c r="G18" s="13">
        <v>0.0185</v>
      </c>
      <c r="H18" s="79" t="str">
        <f>G18/$G$38</f>
        <v>0</v>
      </c>
      <c r="I18" s="99">
        <v>0</v>
      </c>
      <c r="J18" s="85" t="str">
        <f>I18/$I$38</f>
        <v>0</v>
      </c>
      <c r="K18" s="13" t="str">
        <f>0.4%-0.1%</f>
        <v>0</v>
      </c>
      <c r="L18" s="117" t="str">
        <f>K18/$K$38</f>
        <v>0</v>
      </c>
      <c r="M18" s="99">
        <v>0</v>
      </c>
      <c r="N18" s="85" t="str">
        <f>M18/$M$38</f>
        <v>0</v>
      </c>
      <c r="O18" s="46" t="str">
        <f>G18*$E$7</f>
        <v>0</v>
      </c>
      <c r="P18" s="46" t="str">
        <f>K18*$E$7+O18</f>
        <v>0</v>
      </c>
      <c r="Q18" s="79" t="str">
        <f>P18/$P$38</f>
        <v>0</v>
      </c>
      <c r="R18" s="130" t="str">
        <f>($R$22/$Q$22)*Q18</f>
        <v>0</v>
      </c>
      <c r="S18" s="47" t="str">
        <f>I18*$E$7</f>
        <v>0</v>
      </c>
      <c r="T18" s="47" t="str">
        <f>M18*$E$7+S18</f>
        <v>0</v>
      </c>
      <c r="U18" s="85" t="str">
        <f>T18/$T$38</f>
        <v>0</v>
      </c>
      <c r="V18" s="130" t="str">
        <f>($V$22/$U$22)*U18</f>
        <v>0</v>
      </c>
      <c r="W18" s="130" t="str">
        <f>(P18+T18)/($P$22+$T$22)</f>
        <v>0</v>
      </c>
      <c r="X18" s="447"/>
      <c r="AB18" s="658"/>
      <c r="AC18" s="330" t="s">
        <v>85</v>
      </c>
      <c r="AD18" s="331" t="s">
        <v>86</v>
      </c>
      <c r="AE18" s="379" t="str">
        <f>$O$22*30%</f>
        <v>0</v>
      </c>
      <c r="AF18" s="379" t="str">
        <f>$P$22*30%</f>
        <v>0</v>
      </c>
      <c r="AG18" s="330" t="s">
        <v>83</v>
      </c>
      <c r="AH18" s="331" t="s">
        <v>84</v>
      </c>
      <c r="AI18" s="379" t="str">
        <f>$S$25</f>
        <v>0</v>
      </c>
      <c r="AJ18" s="367" t="str">
        <f>$T$25</f>
        <v>0</v>
      </c>
    </row>
    <row r="19" spans="1:42" customHeight="1" ht="15.75">
      <c r="A19" s="612"/>
      <c r="B19" s="40" t="s">
        <v>183</v>
      </c>
      <c r="C19" s="17">
        <v>6</v>
      </c>
      <c r="D19" s="56">
        <v>0.027</v>
      </c>
      <c r="E19" s="142" t="str">
        <f>E$7*D19</f>
        <v>0</v>
      </c>
      <c r="F19" s="131" t="str">
        <f>E19/$E$22</f>
        <v>0</v>
      </c>
      <c r="G19" s="18">
        <v>0.0045</v>
      </c>
      <c r="H19" s="82" t="str">
        <f>G19/$G$38</f>
        <v>0</v>
      </c>
      <c r="I19" s="26">
        <v>0.018</v>
      </c>
      <c r="J19" s="87" t="str">
        <f>I19/$I$38</f>
        <v>0</v>
      </c>
      <c r="K19" s="18" t="str">
        <f>0.4%-0.1%</f>
        <v>0</v>
      </c>
      <c r="L19" s="117" t="str">
        <f>K19/$K$38</f>
        <v>0</v>
      </c>
      <c r="M19" s="26" t="str">
        <f>4%-1%</f>
        <v>0</v>
      </c>
      <c r="N19" s="87" t="str">
        <f>M19/$M$38</f>
        <v>0</v>
      </c>
      <c r="O19" s="57" t="str">
        <f>G19*$E$7</f>
        <v>0</v>
      </c>
      <c r="P19" s="57" t="str">
        <f>K19*$E$7+O19</f>
        <v>0</v>
      </c>
      <c r="Q19" s="82" t="str">
        <f>P19/$P$38</f>
        <v>0</v>
      </c>
      <c r="R19" s="131" t="str">
        <f>($R$22/$Q$22)*Q19</f>
        <v>0</v>
      </c>
      <c r="S19" s="58" t="str">
        <f>I19*$E$7</f>
        <v>0</v>
      </c>
      <c r="T19" s="58" t="str">
        <f>M19*$E$7+S19</f>
        <v>0</v>
      </c>
      <c r="U19" s="87" t="str">
        <f>T19/$T$38</f>
        <v>0</v>
      </c>
      <c r="V19" s="145" t="str">
        <f>($V$22/$U$22)*U19</f>
        <v>0</v>
      </c>
      <c r="W19" s="131" t="str">
        <f>(P19+T19)/($P$22+$T$22)</f>
        <v>0</v>
      </c>
      <c r="X19" s="449"/>
      <c r="AB19" s="658"/>
      <c r="AC19" s="330" t="s">
        <v>89</v>
      </c>
      <c r="AD19" s="331" t="s">
        <v>90</v>
      </c>
      <c r="AE19" s="379" t="str">
        <f>$O$20+$O$21</f>
        <v>0</v>
      </c>
      <c r="AF19" s="379" t="str">
        <f>$P$20+$P$21</f>
        <v>0</v>
      </c>
      <c r="AG19" s="330" t="s">
        <v>87</v>
      </c>
      <c r="AH19" s="331" t="s">
        <v>88</v>
      </c>
      <c r="AI19" s="379" t="str">
        <f>$S$22</f>
        <v>0</v>
      </c>
      <c r="AJ19" s="367" t="str">
        <f>$T$22</f>
        <v>0</v>
      </c>
    </row>
    <row r="20" spans="1:42" customHeight="1" ht="24.75">
      <c r="A20" s="617" t="s">
        <v>184</v>
      </c>
      <c r="B20" s="39" t="s">
        <v>185</v>
      </c>
      <c r="C20" s="15">
        <v>7</v>
      </c>
      <c r="D20" s="42">
        <v>0</v>
      </c>
      <c r="E20" s="16" t="str">
        <f>E$7*D20</f>
        <v>0</v>
      </c>
      <c r="F20" s="135" t="str">
        <f>E20/$E$22</f>
        <v>0</v>
      </c>
      <c r="G20" s="286" t="str">
        <f>0.9%-0.55%</f>
        <v>0</v>
      </c>
      <c r="H20" s="81" t="str">
        <f>G20/$G$38</f>
        <v>0</v>
      </c>
      <c r="I20" s="94"/>
      <c r="J20" s="9"/>
      <c r="K20" s="286" t="str">
        <f>0%+0.05%</f>
        <v>0</v>
      </c>
      <c r="L20" s="383" t="str">
        <f>K20/$K$38</f>
        <v>0</v>
      </c>
      <c r="M20" s="94"/>
      <c r="N20" s="94"/>
      <c r="O20" s="46" t="str">
        <f>G20*$E$7</f>
        <v>0</v>
      </c>
      <c r="P20" s="100" t="str">
        <f>K20*$E$7+O20</f>
        <v>0</v>
      </c>
      <c r="Q20" s="81" t="str">
        <f>P20/$P$38</f>
        <v>0</v>
      </c>
      <c r="R20" s="135" t="str">
        <f>($R$22/$Q$22)*Q20</f>
        <v>0</v>
      </c>
      <c r="S20" s="55"/>
      <c r="T20" s="102"/>
      <c r="U20" s="95"/>
      <c r="V20" s="135"/>
      <c r="W20" s="135" t="str">
        <f>(P20+T20)/($P$22+$T$22)</f>
        <v>0</v>
      </c>
      <c r="X20" s="436"/>
      <c r="AB20" s="659"/>
      <c r="AC20" s="332" t="s">
        <v>91</v>
      </c>
      <c r="AD20" s="333" t="s">
        <v>92</v>
      </c>
      <c r="AE20" s="380" t="str">
        <f>$O$22*70%</f>
        <v>0</v>
      </c>
      <c r="AF20" s="380" t="str">
        <f>$P$22*70%</f>
        <v>0</v>
      </c>
      <c r="AG20" s="332"/>
      <c r="AH20" s="333"/>
      <c r="AI20" s="380"/>
      <c r="AJ20" s="368"/>
    </row>
    <row r="21" spans="1:42" customHeight="1" ht="24.75">
      <c r="A21" s="618"/>
      <c r="B21" s="40" t="s">
        <v>186</v>
      </c>
      <c r="C21" s="17">
        <v>7</v>
      </c>
      <c r="D21" s="56">
        <v>0.0045</v>
      </c>
      <c r="E21" s="142" t="str">
        <f>E$7*D21</f>
        <v>0</v>
      </c>
      <c r="F21" s="131" t="str">
        <f>E21/$E$22</f>
        <v>0</v>
      </c>
      <c r="G21" s="563" t="str">
        <f>0.45%-0.25%</f>
        <v>0</v>
      </c>
      <c r="H21" s="82" t="str">
        <f>G21/$G$38</f>
        <v>0</v>
      </c>
      <c r="I21" s="37"/>
      <c r="J21" s="37"/>
      <c r="K21" s="563" t="str">
        <f>0%+0.05%</f>
        <v>0</v>
      </c>
      <c r="L21" s="118" t="str">
        <f>K21/$K$38</f>
        <v>0</v>
      </c>
      <c r="M21" s="37"/>
      <c r="N21" s="37"/>
      <c r="O21" s="57" t="str">
        <f>G21*$E$7</f>
        <v>0</v>
      </c>
      <c r="P21" s="57" t="str">
        <f>K21*$E$7+O21</f>
        <v>0</v>
      </c>
      <c r="Q21" s="82" t="str">
        <f>P21/$P$38</f>
        <v>0</v>
      </c>
      <c r="R21" s="131" t="str">
        <f>($R$22/$Q$22)*Q21</f>
        <v>0</v>
      </c>
      <c r="S21" s="138"/>
      <c r="T21" s="37"/>
      <c r="U21" s="37"/>
      <c r="V21" s="146"/>
      <c r="W21" s="131" t="str">
        <f>(P21+T21)/($P$22+$T$22)</f>
        <v>0</v>
      </c>
      <c r="X21" s="450"/>
      <c r="AB21" s="615" t="s">
        <v>187</v>
      </c>
      <c r="AC21" s="345" t="s">
        <v>93</v>
      </c>
      <c r="AD21" s="346" t="s">
        <v>94</v>
      </c>
      <c r="AE21" s="348" t="str">
        <f>$O$27*25%+AL25</f>
        <v>0</v>
      </c>
      <c r="AF21" s="348" t="str">
        <f>$P$27*25%+AM25</f>
        <v>0</v>
      </c>
      <c r="AG21" s="345" t="s">
        <v>95</v>
      </c>
      <c r="AH21" s="346" t="s">
        <v>96</v>
      </c>
      <c r="AI21" s="347" t="str">
        <f>$S$27*70%+AN25</f>
        <v>0</v>
      </c>
      <c r="AJ21" s="347" t="str">
        <f>$T$27*70%+AO25</f>
        <v>0</v>
      </c>
    </row>
    <row r="22" spans="1:42" customHeight="1" ht="15.75">
      <c r="A22" s="24" t="s">
        <v>188</v>
      </c>
      <c r="B22" s="41" t="s">
        <v>189</v>
      </c>
      <c r="C22" s="19">
        <v>8</v>
      </c>
      <c r="D22" s="44" t="str">
        <f>32.4%-0.32%</f>
        <v>0</v>
      </c>
      <c r="E22" s="22" t="str">
        <f>E$7*D22</f>
        <v>0</v>
      </c>
      <c r="F22" s="132" t="str">
        <f>E22/$E$22</f>
        <v>0</v>
      </c>
      <c r="G22" s="440" t="str">
        <f>4%+0.8%</f>
        <v>0</v>
      </c>
      <c r="H22" s="83" t="str">
        <f>G22/$G$38</f>
        <v>0</v>
      </c>
      <c r="I22" s="23">
        <v>0.2592</v>
      </c>
      <c r="J22" s="85" t="str">
        <f>I22/$I$38</f>
        <v>0</v>
      </c>
      <c r="K22" s="563" t="str">
        <f>0.8%-0.1%</f>
        <v>0</v>
      </c>
      <c r="L22" s="119" t="str">
        <f>K22/$K$38</f>
        <v>0</v>
      </c>
      <c r="M22" s="23">
        <v>0.06</v>
      </c>
      <c r="N22" s="85" t="str">
        <f>M22/$M$38</f>
        <v>0</v>
      </c>
      <c r="O22" s="61" t="str">
        <f>G22*$E$7</f>
        <v>0</v>
      </c>
      <c r="P22" s="61" t="str">
        <f>K22*$E$7+O22</f>
        <v>0</v>
      </c>
      <c r="Q22" s="83" t="str">
        <f>P22/$P$38</f>
        <v>0</v>
      </c>
      <c r="R22" s="132">
        <v>1</v>
      </c>
      <c r="S22" s="62" t="str">
        <f>I22*$E$7</f>
        <v>0</v>
      </c>
      <c r="T22" s="62" t="str">
        <f>M22*$E$7+S22</f>
        <v>0</v>
      </c>
      <c r="U22" s="85" t="str">
        <f>T22/$T$38</f>
        <v>0</v>
      </c>
      <c r="V22" s="147">
        <v>1</v>
      </c>
      <c r="W22" s="132" t="str">
        <f>(P22+T22)/($P$22+$T$22)</f>
        <v>0</v>
      </c>
      <c r="X22" s="451"/>
      <c r="AB22" s="615"/>
      <c r="AC22" s="345" t="s">
        <v>98</v>
      </c>
      <c r="AD22" s="346" t="s">
        <v>99</v>
      </c>
      <c r="AE22" s="348" t="str">
        <f>$O$27*20%+AL27</f>
        <v>0</v>
      </c>
      <c r="AF22" s="348" t="str">
        <f>$P$27*20%+AM27</f>
        <v>0</v>
      </c>
      <c r="AG22" s="345"/>
      <c r="AH22" s="346"/>
      <c r="AI22" s="347"/>
      <c r="AJ22" s="347"/>
    </row>
    <row r="23" spans="1:42">
      <c r="A23" s="655" t="s">
        <v>190</v>
      </c>
      <c r="B23" s="39" t="s">
        <v>191</v>
      </c>
      <c r="C23" s="15">
        <v>9</v>
      </c>
      <c r="D23" s="42">
        <v>0.0035</v>
      </c>
      <c r="E23" s="16" t="str">
        <f>E$7*D23</f>
        <v>0</v>
      </c>
      <c r="F23" s="382" t="str">
        <f>E23/$E$22</f>
        <v>0</v>
      </c>
      <c r="G23" s="21" t="str">
        <f>1.35%-1%</f>
        <v>0</v>
      </c>
      <c r="H23" s="317" t="str">
        <f>G23/$G$38</f>
        <v>0</v>
      </c>
      <c r="I23" s="63"/>
      <c r="J23" s="63"/>
      <c r="K23" s="21">
        <v>0</v>
      </c>
      <c r="L23" s="383" t="str">
        <f>K23/$K$38</f>
        <v>0</v>
      </c>
      <c r="M23" s="63"/>
      <c r="N23" s="63"/>
      <c r="O23" s="59" t="str">
        <f>G23*$E$7</f>
        <v>0</v>
      </c>
      <c r="P23" s="59" t="str">
        <f>K23*$E$7+O23</f>
        <v>0</v>
      </c>
      <c r="Q23" s="317" t="str">
        <f>P23/$P$38</f>
        <v>0</v>
      </c>
      <c r="R23" s="382" t="str">
        <f>($R$22/$Q$22)*Q23</f>
        <v>0</v>
      </c>
      <c r="S23" s="55"/>
      <c r="T23" s="55"/>
      <c r="U23" s="55"/>
      <c r="V23" s="148"/>
      <c r="W23" s="382" t="str">
        <f>(P23+T23)/($P$22+$T$22)</f>
        <v>0</v>
      </c>
      <c r="X23" s="452"/>
      <c r="AB23" s="615"/>
      <c r="AC23" s="345" t="s">
        <v>102</v>
      </c>
      <c r="AD23" s="346" t="s">
        <v>103</v>
      </c>
      <c r="AE23" s="348" t="str">
        <f>$O$27*55%+AL26</f>
        <v>0</v>
      </c>
      <c r="AF23" s="348" t="str">
        <f>$P$27*55%+AM26</f>
        <v>0</v>
      </c>
      <c r="AG23" s="345" t="s">
        <v>100</v>
      </c>
      <c r="AH23" s="346" t="s">
        <v>101</v>
      </c>
      <c r="AI23" s="347" t="str">
        <f>$S$27*30%+AN27</f>
        <v>0</v>
      </c>
      <c r="AJ23" s="347" t="str">
        <f>$T$27*30%+AO27</f>
        <v>0</v>
      </c>
      <c r="AL23" s="640" t="s">
        <v>192</v>
      </c>
      <c r="AM23" s="641"/>
      <c r="AN23" s="642" t="s">
        <v>193</v>
      </c>
      <c r="AO23" s="643"/>
    </row>
    <row r="24" spans="1:42" customHeight="1" ht="30.75">
      <c r="A24" s="656"/>
      <c r="B24" s="40" t="s">
        <v>194</v>
      </c>
      <c r="C24" s="17">
        <v>10</v>
      </c>
      <c r="D24" s="56">
        <v>0.01</v>
      </c>
      <c r="E24" s="142" t="str">
        <f>E$7*D24</f>
        <v>0</v>
      </c>
      <c r="F24" s="145" t="str">
        <f>E24/$E$22</f>
        <v>0</v>
      </c>
      <c r="G24" s="18" t="str">
        <f>1%</f>
        <v>0</v>
      </c>
      <c r="H24" s="82" t="str">
        <f>G24/$G$38</f>
        <v>0</v>
      </c>
      <c r="I24" s="26">
        <v>0</v>
      </c>
      <c r="J24" s="87" t="str">
        <f>I24/$I$38</f>
        <v>0</v>
      </c>
      <c r="K24" s="18">
        <v>0</v>
      </c>
      <c r="L24" s="118" t="str">
        <f>K24/$K$38</f>
        <v>0</v>
      </c>
      <c r="M24" s="26">
        <v>0</v>
      </c>
      <c r="N24" s="87" t="str">
        <f>M24/$M$38</f>
        <v>0</v>
      </c>
      <c r="O24" s="319" t="str">
        <f>G24*$E$7</f>
        <v>0</v>
      </c>
      <c r="P24" s="57" t="str">
        <f>K24*$E$7+O24</f>
        <v>0</v>
      </c>
      <c r="Q24" s="82" t="str">
        <f>P24/$P$38</f>
        <v>0</v>
      </c>
      <c r="R24" s="131" t="str">
        <f>($R$22/$Q$22)*Q24</f>
        <v>0</v>
      </c>
      <c r="S24" s="58" t="str">
        <f>I24*$E$7</f>
        <v>0</v>
      </c>
      <c r="T24" s="96" t="str">
        <f>M24*$E$7+S24</f>
        <v>0</v>
      </c>
      <c r="U24" s="87" t="str">
        <f>T24/$T$38</f>
        <v>0</v>
      </c>
      <c r="V24" s="145" t="str">
        <f>($V$22/$U$22)*U24</f>
        <v>0</v>
      </c>
      <c r="W24" s="131" t="str">
        <f>(P24+T24)/($P$22+$T$22)</f>
        <v>0</v>
      </c>
      <c r="X24" s="438"/>
      <c r="AB24" s="616"/>
      <c r="AC24" s="334"/>
      <c r="AD24" s="335"/>
      <c r="AE24" s="349"/>
      <c r="AF24" s="349"/>
      <c r="AG24" s="334"/>
      <c r="AH24" s="335"/>
      <c r="AI24" s="352"/>
      <c r="AJ24" s="352"/>
      <c r="AL24" s="418" t="s">
        <v>169</v>
      </c>
      <c r="AM24" s="418" t="s">
        <v>170</v>
      </c>
      <c r="AN24" s="419" t="s">
        <v>169</v>
      </c>
      <c r="AO24" s="419" t="s">
        <v>170</v>
      </c>
    </row>
    <row r="25" spans="1:42" customHeight="1" ht="24.75">
      <c r="A25" s="24" t="s">
        <v>195</v>
      </c>
      <c r="B25" s="41" t="s">
        <v>196</v>
      </c>
      <c r="C25" s="19" t="s">
        <v>197</v>
      </c>
      <c r="D25" s="44">
        <v>0.005</v>
      </c>
      <c r="E25" s="22" t="str">
        <f>E$7*D25</f>
        <v>0</v>
      </c>
      <c r="F25" s="132" t="str">
        <f>E25/$E$22</f>
        <v>0</v>
      </c>
      <c r="G25" s="20">
        <v>0.005</v>
      </c>
      <c r="H25" s="83" t="str">
        <f>G25/$G$38</f>
        <v>0</v>
      </c>
      <c r="I25" s="23">
        <v>0</v>
      </c>
      <c r="J25" s="88" t="str">
        <f>I25/$I$38</f>
        <v>0</v>
      </c>
      <c r="K25" s="18">
        <v>0</v>
      </c>
      <c r="L25" s="118" t="str">
        <f>K25/$K$38</f>
        <v>0</v>
      </c>
      <c r="M25" s="23">
        <v>0</v>
      </c>
      <c r="N25" s="88" t="str">
        <f>M25/$M$38</f>
        <v>0</v>
      </c>
      <c r="O25" s="319" t="str">
        <f>G25*$E$7</f>
        <v>0</v>
      </c>
      <c r="P25" s="61" t="str">
        <f>K25*$E$7+O25</f>
        <v>0</v>
      </c>
      <c r="Q25" s="83" t="str">
        <f>P25/$P$38</f>
        <v>0</v>
      </c>
      <c r="R25" s="132" t="str">
        <f>($R$22/$Q$22)*Q25</f>
        <v>0</v>
      </c>
      <c r="S25" s="62" t="str">
        <f>I25*$E$7</f>
        <v>0</v>
      </c>
      <c r="T25" s="96" t="str">
        <f>M25*$E$7+S25</f>
        <v>0</v>
      </c>
      <c r="U25" s="88" t="str">
        <f>T25/$T$38</f>
        <v>0</v>
      </c>
      <c r="V25" s="132" t="str">
        <f>($V$22/$U$22)*U25</f>
        <v>0</v>
      </c>
      <c r="W25" s="132" t="str">
        <f>(P25+T25)/($P$22+$T$22)</f>
        <v>0</v>
      </c>
      <c r="X25" s="451"/>
      <c r="AB25" s="624" t="s">
        <v>198</v>
      </c>
      <c r="AC25" s="336" t="s">
        <v>106</v>
      </c>
      <c r="AD25" s="337" t="s">
        <v>107</v>
      </c>
      <c r="AE25" s="350" t="str">
        <f>$O$29*30%+AL29</f>
        <v>0</v>
      </c>
      <c r="AF25" s="350" t="str">
        <f>$P$29*30%+AM29</f>
        <v>0</v>
      </c>
      <c r="AG25" s="336" t="s">
        <v>108</v>
      </c>
      <c r="AH25" s="337" t="s">
        <v>109</v>
      </c>
      <c r="AI25" s="338" t="str">
        <f>$S$29*50%</f>
        <v>0</v>
      </c>
      <c r="AJ25" s="338" t="str">
        <f>$T$29*50%</f>
        <v>0</v>
      </c>
      <c r="AL25" s="408" t="str">
        <f>$AI$4*$AL$4*25%</f>
        <v>0</v>
      </c>
      <c r="AM25" s="409" t="str">
        <f>AL25+AN25*20%</f>
        <v>0</v>
      </c>
      <c r="AN25" s="410" t="str">
        <f>$AI$4*$AN$4*70%</f>
        <v>0</v>
      </c>
      <c r="AO25" s="411" t="str">
        <f>AN25/75%</f>
        <v>0</v>
      </c>
    </row>
    <row r="26" spans="1:42" customHeight="1" ht="24.75">
      <c r="A26" s="25" t="s">
        <v>199</v>
      </c>
      <c r="B26" s="41" t="s">
        <v>200</v>
      </c>
      <c r="C26" s="19">
        <v>11</v>
      </c>
      <c r="D26" s="44">
        <v>0.03</v>
      </c>
      <c r="E26" s="22" t="str">
        <f>E$7*D26</f>
        <v>0</v>
      </c>
      <c r="F26" s="132" t="str">
        <f>E26/$E$22</f>
        <v>0</v>
      </c>
      <c r="G26" s="320">
        <v>0.03</v>
      </c>
      <c r="H26" s="83" t="str">
        <f>G26/$G$38</f>
        <v>0</v>
      </c>
      <c r="I26" s="23">
        <v>0</v>
      </c>
      <c r="J26" s="88" t="str">
        <f>I26/$I$38</f>
        <v>0</v>
      </c>
      <c r="K26" s="20">
        <v>0</v>
      </c>
      <c r="L26" s="119" t="str">
        <f>K26/$K$38</f>
        <v>0</v>
      </c>
      <c r="M26" s="26">
        <v>0</v>
      </c>
      <c r="N26" s="88" t="str">
        <f>M26/$M$38</f>
        <v>0</v>
      </c>
      <c r="O26" s="319" t="str">
        <f>G26*$E$7</f>
        <v>0</v>
      </c>
      <c r="P26" s="61" t="str">
        <f>K26*$E$7+O26</f>
        <v>0</v>
      </c>
      <c r="Q26" s="83" t="str">
        <f>P26/$P$38</f>
        <v>0</v>
      </c>
      <c r="R26" s="132" t="str">
        <f>($R$22/$Q$22)*Q26</f>
        <v>0</v>
      </c>
      <c r="S26" s="62" t="str">
        <f>I26*$E$7</f>
        <v>0</v>
      </c>
      <c r="T26" s="96" t="str">
        <f>M26*$E$7+S26</f>
        <v>0</v>
      </c>
      <c r="U26" s="88" t="str">
        <f>T26/$T$38</f>
        <v>0</v>
      </c>
      <c r="V26" s="132" t="str">
        <f>($V$22/$U$22)*U26</f>
        <v>0</v>
      </c>
      <c r="W26" s="132" t="str">
        <f>(P26+T26)/($P$22+$T$22)</f>
        <v>0</v>
      </c>
      <c r="X26" s="451"/>
      <c r="AB26" s="625"/>
      <c r="AC26" s="339" t="s">
        <v>110</v>
      </c>
      <c r="AD26" s="340" t="s">
        <v>111</v>
      </c>
      <c r="AE26" s="351" t="str">
        <f>$O$29*60%+AL30</f>
        <v>0</v>
      </c>
      <c r="AF26" s="351" t="str">
        <f>$P$29*60%+AM30</f>
        <v>0</v>
      </c>
      <c r="AG26" s="339" t="s">
        <v>112</v>
      </c>
      <c r="AH26" s="340" t="s">
        <v>113</v>
      </c>
      <c r="AI26" s="341" t="str">
        <f>$S$29*50%</f>
        <v>0</v>
      </c>
      <c r="AJ26" s="341" t="str">
        <f>$T$29*50%</f>
        <v>0</v>
      </c>
      <c r="AL26" s="408" t="str">
        <f>$AI$4*$AL$4*55%</f>
        <v>0</v>
      </c>
      <c r="AM26" s="409" t="str">
        <f>AL26+AN26*20%</f>
        <v>0</v>
      </c>
      <c r="AN26" s="410"/>
      <c r="AO26" s="411"/>
    </row>
    <row r="27" spans="1:42" customHeight="1" ht="30.75">
      <c r="A27" s="24" t="s">
        <v>201</v>
      </c>
      <c r="B27" s="41" t="s">
        <v>202</v>
      </c>
      <c r="C27" s="19">
        <v>12</v>
      </c>
      <c r="D27" s="44">
        <v>0.09</v>
      </c>
      <c r="E27" s="22" t="str">
        <f>E$7*D27</f>
        <v>0</v>
      </c>
      <c r="F27" s="132" t="str">
        <f>E27/$E$22</f>
        <v>0</v>
      </c>
      <c r="G27" s="20" t="str">
        <f>2.16%</f>
        <v>0</v>
      </c>
      <c r="H27" s="81" t="str">
        <f>G27/$G$38</f>
        <v>0</v>
      </c>
      <c r="I27" s="23">
        <v>0.09</v>
      </c>
      <c r="J27" s="86" t="str">
        <f>I27/$I$38</f>
        <v>0</v>
      </c>
      <c r="K27" s="20" t="str">
        <f>2.99%-0.49%</f>
        <v>0</v>
      </c>
      <c r="L27" s="120" t="str">
        <f>K27/$K$38</f>
        <v>0</v>
      </c>
      <c r="M27" s="23">
        <v>0.04</v>
      </c>
      <c r="N27" s="86" t="str">
        <f>M27/$M$38</f>
        <v>0</v>
      </c>
      <c r="O27" s="61" t="str">
        <f>G27*$E$7</f>
        <v>0</v>
      </c>
      <c r="P27" s="100" t="str">
        <f>K27*$E$7+O27</f>
        <v>0</v>
      </c>
      <c r="Q27" s="81" t="str">
        <f>P27/$P$38</f>
        <v>0</v>
      </c>
      <c r="R27" s="132" t="str">
        <f>($R$22/$Q$22)*Q27</f>
        <v>0</v>
      </c>
      <c r="S27" s="62" t="str">
        <f>I27*$E$7</f>
        <v>0</v>
      </c>
      <c r="T27" s="96" t="str">
        <f>M27*$E$7+S27</f>
        <v>0</v>
      </c>
      <c r="U27" s="86" t="str">
        <f>T27/$T$38</f>
        <v>0</v>
      </c>
      <c r="V27" s="132" t="str">
        <f>($V$22/$U$22)*U27</f>
        <v>0</v>
      </c>
      <c r="W27" s="132" t="str">
        <f>(P27+T27)/($P$22+$T$22)</f>
        <v>0</v>
      </c>
      <c r="X27" s="451"/>
      <c r="AB27" s="625"/>
      <c r="AC27" s="339" t="s">
        <v>114</v>
      </c>
      <c r="AD27" s="340" t="s">
        <v>115</v>
      </c>
      <c r="AE27" s="562" t="str">
        <f>$O$29*10%+AL31</f>
        <v>0</v>
      </c>
      <c r="AF27" s="351" t="str">
        <f>$P$29*10%+AM31</f>
        <v>0</v>
      </c>
      <c r="AG27" s="339" t="s">
        <v>116</v>
      </c>
      <c r="AH27" s="340" t="s">
        <v>117</v>
      </c>
      <c r="AI27" s="341" t="str">
        <f>AN29+AN30</f>
        <v>0</v>
      </c>
      <c r="AJ27" s="341" t="str">
        <f>AO29+AO30</f>
        <v>0</v>
      </c>
      <c r="AL27" s="408" t="str">
        <f>$AI$4*$AL$4*20%</f>
        <v>0</v>
      </c>
      <c r="AM27" s="409" t="str">
        <f>AL27+AN27*20%</f>
        <v>0</v>
      </c>
      <c r="AN27" s="410" t="str">
        <f>$AI$4*$AN$4*30%</f>
        <v>0</v>
      </c>
      <c r="AO27" s="411" t="str">
        <f>AN27/75%</f>
        <v>0</v>
      </c>
    </row>
    <row r="28" spans="1:42" customHeight="1" ht="24.75">
      <c r="A28" s="24" t="s">
        <v>203</v>
      </c>
      <c r="B28" s="41" t="s">
        <v>204</v>
      </c>
      <c r="C28" s="19">
        <v>13</v>
      </c>
      <c r="D28" s="44"/>
      <c r="E28" s="22" t="s">
        <v>205</v>
      </c>
      <c r="F28" s="136"/>
      <c r="G28" s="139"/>
      <c r="H28" s="126"/>
      <c r="I28" s="38"/>
      <c r="J28" s="126"/>
      <c r="K28" s="38"/>
      <c r="L28" s="126"/>
      <c r="M28" s="38"/>
      <c r="N28" s="126"/>
      <c r="O28" s="139"/>
      <c r="P28" s="64"/>
      <c r="Q28" s="126"/>
      <c r="R28" s="136"/>
      <c r="S28" s="64"/>
      <c r="T28" s="64"/>
      <c r="U28" s="126"/>
      <c r="V28" s="136"/>
      <c r="W28" s="136"/>
      <c r="X28" s="451"/>
      <c r="AB28" s="626"/>
      <c r="AC28" s="342" t="s">
        <v>118</v>
      </c>
      <c r="AD28" s="343" t="s">
        <v>119</v>
      </c>
      <c r="AE28" s="381" t="str">
        <f>$O$30</f>
        <v>0</v>
      </c>
      <c r="AF28" s="381" t="str">
        <f>$P$30</f>
        <v>0</v>
      </c>
      <c r="AG28" s="342" t="s">
        <v>120</v>
      </c>
      <c r="AH28" s="343" t="s">
        <v>121</v>
      </c>
      <c r="AI28" s="381" t="str">
        <f>$S$30</f>
        <v>0</v>
      </c>
      <c r="AJ28" s="344" t="str">
        <f>$T$30</f>
        <v>0</v>
      </c>
      <c r="AL28" s="408"/>
      <c r="AM28" s="408"/>
      <c r="AN28" s="410"/>
      <c r="AO28" s="410"/>
    </row>
    <row r="29" spans="1:42" customHeight="1" ht="15.75">
      <c r="A29" s="24" t="s">
        <v>45</v>
      </c>
      <c r="B29" s="41" t="s">
        <v>206</v>
      </c>
      <c r="C29" s="19">
        <v>14</v>
      </c>
      <c r="D29" s="44">
        <v>0.144</v>
      </c>
      <c r="E29" s="22" t="str">
        <f>E$7*D29</f>
        <v>0</v>
      </c>
      <c r="F29" s="132" t="str">
        <f>E29/$E$22</f>
        <v>0</v>
      </c>
      <c r="G29" s="20">
        <v>0.0288</v>
      </c>
      <c r="H29" s="83" t="str">
        <f>G29/$G$38</f>
        <v>0</v>
      </c>
      <c r="I29" s="23">
        <v>0.1152</v>
      </c>
      <c r="J29" s="88" t="str">
        <f>I29/$I$38</f>
        <v>0</v>
      </c>
      <c r="K29" s="440" t="str">
        <f>0.8%+3.18%-0.405%</f>
        <v>0</v>
      </c>
      <c r="L29" s="119" t="str">
        <f>K29/$K$38</f>
        <v>0</v>
      </c>
      <c r="M29" s="23">
        <v>0.02</v>
      </c>
      <c r="N29" s="88" t="str">
        <f>M29/$M$38</f>
        <v>0</v>
      </c>
      <c r="O29" s="61" t="str">
        <f>G29*$E$7</f>
        <v>0</v>
      </c>
      <c r="P29" s="61" t="str">
        <f>K29*$E$7+O29</f>
        <v>0</v>
      </c>
      <c r="Q29" s="83" t="str">
        <f>P29/$P$38</f>
        <v>0</v>
      </c>
      <c r="R29" s="132" t="str">
        <f>($R$22/$Q$22)*Q29</f>
        <v>0</v>
      </c>
      <c r="S29" s="62" t="str">
        <f>I29*$E$7</f>
        <v>0</v>
      </c>
      <c r="T29" s="96" t="str">
        <f>M29*$E$7+S29</f>
        <v>0</v>
      </c>
      <c r="U29" s="88" t="str">
        <f>T29/$T$38</f>
        <v>0</v>
      </c>
      <c r="V29" s="132" t="str">
        <f>($V$22/$U$22)*U29</f>
        <v>0</v>
      </c>
      <c r="W29" s="132" t="str">
        <f>(P29+T29)/($P$22+$T$22)</f>
        <v>0</v>
      </c>
      <c r="X29" s="451"/>
      <c r="AB29" s="621" t="s">
        <v>207</v>
      </c>
      <c r="AC29" s="353"/>
      <c r="AD29" s="354" t="s">
        <v>208</v>
      </c>
      <c r="AE29" s="363" t="str">
        <f>$O$31+$O$32+$O$36+AL33</f>
        <v>0</v>
      </c>
      <c r="AF29" s="363" t="str">
        <f>$P$31+$P$32+$P$36+AM33</f>
        <v>0</v>
      </c>
      <c r="AG29" s="353" t="s">
        <v>122</v>
      </c>
      <c r="AH29" s="355" t="s">
        <v>123</v>
      </c>
      <c r="AI29" s="369" t="str">
        <f>$S$35+AN33</f>
        <v>0</v>
      </c>
      <c r="AJ29" s="369" t="str">
        <f>$S$35+$T$37+AO33</f>
        <v>0</v>
      </c>
      <c r="AL29" s="408" t="str">
        <f>$AI$5*$AL$5*30%</f>
        <v>0</v>
      </c>
      <c r="AM29" s="409" t="str">
        <f>AL29+AN29*20%</f>
        <v>0</v>
      </c>
      <c r="AN29" s="410" t="str">
        <f>$AI$5*$AN$5*50%</f>
        <v>0</v>
      </c>
      <c r="AO29" s="411" t="str">
        <f>AN29/75%</f>
        <v>0</v>
      </c>
    </row>
    <row r="30" spans="1:42" customHeight="1" ht="24.75">
      <c r="A30" s="420" t="s">
        <v>36</v>
      </c>
      <c r="B30" s="421" t="s">
        <v>209</v>
      </c>
      <c r="C30" s="422">
        <v>15</v>
      </c>
      <c r="D30" s="423">
        <v>0.027</v>
      </c>
      <c r="E30" s="424" t="str">
        <f>E$7*D30</f>
        <v>0</v>
      </c>
      <c r="F30" s="425" t="str">
        <f>E30/$E$22</f>
        <v>0</v>
      </c>
      <c r="G30" s="426">
        <v>0.0054</v>
      </c>
      <c r="H30" s="427" t="str">
        <f>G30/$G$38</f>
        <v>0</v>
      </c>
      <c r="I30" s="428">
        <v>0.0216</v>
      </c>
      <c r="J30" s="429" t="str">
        <f>I30/$I$38</f>
        <v>0</v>
      </c>
      <c r="K30" s="426">
        <v>0.001</v>
      </c>
      <c r="L30" s="430" t="str">
        <f>K30/$K$38</f>
        <v>0</v>
      </c>
      <c r="M30" s="428">
        <v>0</v>
      </c>
      <c r="N30" s="429" t="str">
        <f>M30/$M$38</f>
        <v>0</v>
      </c>
      <c r="O30" s="431" t="str">
        <f>G30*$E$7</f>
        <v>0</v>
      </c>
      <c r="P30" s="431" t="str">
        <f>K30*$E$7+O30</f>
        <v>0</v>
      </c>
      <c r="Q30" s="427" t="str">
        <f>P30/$P$38</f>
        <v>0</v>
      </c>
      <c r="R30" s="425" t="str">
        <f>($R$22/$Q$22)*Q30</f>
        <v>0</v>
      </c>
      <c r="S30" s="432" t="str">
        <f>I30*$E$7</f>
        <v>0</v>
      </c>
      <c r="T30" s="442" t="str">
        <f>M30*$E$7+S30</f>
        <v>0</v>
      </c>
      <c r="U30" s="429" t="str">
        <f>T30/$T$38</f>
        <v>0</v>
      </c>
      <c r="V30" s="425" t="str">
        <f>($V$22/$U$22)*U30</f>
        <v>0</v>
      </c>
      <c r="W30" s="425" t="str">
        <f>(P30+T30)/($P$22+$T$22)</f>
        <v>0</v>
      </c>
      <c r="X30" s="453"/>
      <c r="AB30" s="622"/>
      <c r="AC30" s="374"/>
      <c r="AD30" s="375" t="s">
        <v>210</v>
      </c>
      <c r="AE30" s="376" t="str">
        <f>$O$33</f>
        <v>0</v>
      </c>
      <c r="AF30" s="376" t="str">
        <f>$P$33</f>
        <v>0</v>
      </c>
      <c r="AG30" s="374"/>
      <c r="AH30" s="375"/>
      <c r="AI30" s="377"/>
      <c r="AJ30" s="377"/>
      <c r="AL30" s="408" t="str">
        <f>$AI$5*$AL$5*60%</f>
        <v>0</v>
      </c>
      <c r="AM30" s="409" t="str">
        <f>AL30+AN30*20%</f>
        <v>0</v>
      </c>
      <c r="AN30" s="410" t="str">
        <f>$AI$5*$AN$5*50%</f>
        <v>0</v>
      </c>
      <c r="AO30" s="411" t="str">
        <f>AN30/75%</f>
        <v>0</v>
      </c>
    </row>
    <row r="31" spans="1:42">
      <c r="A31" s="610" t="s">
        <v>52</v>
      </c>
      <c r="B31" s="39" t="s">
        <v>54</v>
      </c>
      <c r="C31" s="15">
        <v>16</v>
      </c>
      <c r="D31" s="42">
        <v>0.0398</v>
      </c>
      <c r="E31" s="16" t="str">
        <f>E$7*D31</f>
        <v>0</v>
      </c>
      <c r="F31" s="382" t="str">
        <f>E31/$E$22</f>
        <v>0</v>
      </c>
      <c r="G31" s="286" t="str">
        <f>2.34161%-0.21%</f>
        <v>0</v>
      </c>
      <c r="H31" s="317" t="str">
        <f>G31/$G$38</f>
        <v>0</v>
      </c>
      <c r="I31" s="564" t="str">
        <f>0.82%+0.54%+0.21%</f>
        <v>0</v>
      </c>
      <c r="J31" s="435" t="str">
        <f>I31/$I$38</f>
        <v>0</v>
      </c>
      <c r="K31" s="286" t="str">
        <f>2.18018%-1.68%</f>
        <v>0</v>
      </c>
      <c r="L31" s="383" t="str">
        <f>K31/$K$38</f>
        <v>0</v>
      </c>
      <c r="M31" s="101"/>
      <c r="N31" s="435" t="str">
        <f>M31/$M$38</f>
        <v>0</v>
      </c>
      <c r="O31" s="59" t="str">
        <f>G31*$E$7</f>
        <v>0</v>
      </c>
      <c r="P31" s="59" t="str">
        <f>K31*$E$7+O31</f>
        <v>0</v>
      </c>
      <c r="Q31" s="317" t="str">
        <f>P31/$P$38</f>
        <v>0</v>
      </c>
      <c r="R31" s="382" t="str">
        <f>($R$22/$Q$22)*Q31</f>
        <v>0</v>
      </c>
      <c r="S31" s="60" t="str">
        <f>I31*$E$7</f>
        <v>0</v>
      </c>
      <c r="T31" s="60" t="str">
        <f>M31*$E$7+S31</f>
        <v>0</v>
      </c>
      <c r="U31" s="435" t="str">
        <f>T31/$T$38</f>
        <v>0</v>
      </c>
      <c r="V31" s="382" t="str">
        <f>($V$22/$U$22)*U31</f>
        <v>0</v>
      </c>
      <c r="W31" s="382" t="str">
        <f>(P31+T31)/($P$22+$T$22)</f>
        <v>0</v>
      </c>
      <c r="X31" s="436"/>
      <c r="AB31" s="622"/>
      <c r="AC31" s="374"/>
      <c r="AD31" s="375" t="s">
        <v>211</v>
      </c>
      <c r="AE31" s="376" t="str">
        <f>$O$34</f>
        <v>0</v>
      </c>
      <c r="AF31" s="376" t="str">
        <f>$P$34</f>
        <v>0</v>
      </c>
      <c r="AG31" s="374">
        <v>901</v>
      </c>
      <c r="AH31" s="375" t="s">
        <v>212</v>
      </c>
      <c r="AI31" s="377" t="str">
        <f>$S$36</f>
        <v>0</v>
      </c>
      <c r="AJ31" s="377" t="str">
        <f>$T$36</f>
        <v>0</v>
      </c>
      <c r="AL31" s="408" t="str">
        <f>$AI$5*$AL$5*10%</f>
        <v>0</v>
      </c>
      <c r="AM31" s="409" t="str">
        <f>AL31+AN31*20%</f>
        <v>0</v>
      </c>
      <c r="AN31" s="410"/>
      <c r="AO31" s="411"/>
    </row>
    <row r="32" spans="1:42">
      <c r="A32" s="611"/>
      <c r="B32" s="70" t="s">
        <v>55</v>
      </c>
      <c r="C32" s="8">
        <v>16</v>
      </c>
      <c r="D32" s="43">
        <v>0.0788</v>
      </c>
      <c r="E32" s="2" t="str">
        <f>E$7*D32</f>
        <v>0</v>
      </c>
      <c r="F32" s="130" t="str">
        <f>E32/$E$22</f>
        <v>0</v>
      </c>
      <c r="G32" s="384" t="str">
        <f>6.65%-0.5%</f>
        <v>0</v>
      </c>
      <c r="H32" s="79" t="str">
        <f>G32/$G$38</f>
        <v>0</v>
      </c>
      <c r="I32" s="565" t="str">
        <f>2.44839160839161%+0.5%</f>
        <v>0</v>
      </c>
      <c r="J32" s="85" t="str">
        <f>I32/$I$38</f>
        <v>0</v>
      </c>
      <c r="K32" s="384" t="str">
        <f>3%-1.5%</f>
        <v>0</v>
      </c>
      <c r="L32" s="117" t="str">
        <f>K32/$K$38</f>
        <v>0</v>
      </c>
      <c r="M32" s="434"/>
      <c r="N32" s="85" t="str">
        <f>M32/$M$38</f>
        <v>0</v>
      </c>
      <c r="O32" s="46" t="str">
        <f>G32*$E$7</f>
        <v>0</v>
      </c>
      <c r="P32" s="46" t="str">
        <f>K32*$E$7+O32</f>
        <v>0</v>
      </c>
      <c r="Q32" s="79" t="str">
        <f>P32/$P$38</f>
        <v>0</v>
      </c>
      <c r="R32" s="130" t="str">
        <f>($R$22/$Q$22)*Q32</f>
        <v>0</v>
      </c>
      <c r="S32" s="47" t="str">
        <f>I32*$E$7</f>
        <v>0</v>
      </c>
      <c r="T32" s="47" t="str">
        <f>M32*$E$7+S32</f>
        <v>0</v>
      </c>
      <c r="U32" s="85" t="str">
        <f>T32/$T$38</f>
        <v>0</v>
      </c>
      <c r="V32" s="130" t="str">
        <f>($V$22/$U$22)*U32</f>
        <v>0</v>
      </c>
      <c r="W32" s="130" t="str">
        <f>(P32+T32)/($P$22+$T$22)</f>
        <v>0</v>
      </c>
      <c r="X32" s="437"/>
      <c r="AB32" s="622"/>
      <c r="AC32" s="374"/>
      <c r="AD32" s="375" t="s">
        <v>208</v>
      </c>
      <c r="AE32" s="376" t="str">
        <f>$O$37</f>
        <v>0</v>
      </c>
      <c r="AF32" s="376" t="str">
        <f>$P$37</f>
        <v>0</v>
      </c>
      <c r="AG32" s="374" t="s">
        <v>124</v>
      </c>
      <c r="AH32" s="443" t="s">
        <v>125</v>
      </c>
      <c r="AI32" s="377" t="str">
        <f>$S$32+$S$31+AN35</f>
        <v>0</v>
      </c>
      <c r="AJ32" s="377" t="str">
        <f>$T$32+$T$31+($T$35-$S$35)/3</f>
        <v>0</v>
      </c>
      <c r="AL32" s="408"/>
      <c r="AM32" s="408"/>
      <c r="AN32" s="410"/>
      <c r="AO32" s="410"/>
    </row>
    <row r="33" spans="1:42" customHeight="1" ht="15.75">
      <c r="A33" s="611"/>
      <c r="B33" s="70" t="s">
        <v>58</v>
      </c>
      <c r="C33" s="8">
        <v>16</v>
      </c>
      <c r="D33" s="43">
        <v>0.0344</v>
      </c>
      <c r="E33" s="2" t="str">
        <f>E$7*D33</f>
        <v>0</v>
      </c>
      <c r="F33" s="130" t="str">
        <f>E33/$E$22</f>
        <v>0</v>
      </c>
      <c r="G33" s="384" t="str">
        <f>3.04%-0.54%</f>
        <v>0</v>
      </c>
      <c r="H33" s="79" t="str">
        <f>G33/$G$38</f>
        <v>0</v>
      </c>
      <c r="I33" s="99">
        <v>0</v>
      </c>
      <c r="J33" s="85" t="str">
        <f>I33/$I$38</f>
        <v>0</v>
      </c>
      <c r="K33" s="13">
        <v>0.001</v>
      </c>
      <c r="L33" s="117" t="str">
        <f>K33/$K$38</f>
        <v>0</v>
      </c>
      <c r="M33" s="434"/>
      <c r="N33" s="85" t="str">
        <f>M33/$M$38</f>
        <v>0</v>
      </c>
      <c r="O33" s="46" t="str">
        <f>G33*$E$7</f>
        <v>0</v>
      </c>
      <c r="P33" s="46" t="str">
        <f>K33*$E$7+O33</f>
        <v>0</v>
      </c>
      <c r="Q33" s="79" t="str">
        <f>P33/$P$38</f>
        <v>0</v>
      </c>
      <c r="R33" s="130" t="str">
        <f>($R$22/$Q$22)*Q33</f>
        <v>0</v>
      </c>
      <c r="S33" s="47" t="str">
        <f>I33*$E$7</f>
        <v>0</v>
      </c>
      <c r="T33" s="47" t="str">
        <f>M33*$E$7+S33</f>
        <v>0</v>
      </c>
      <c r="U33" s="85" t="str">
        <f>T33/$T$38</f>
        <v>0</v>
      </c>
      <c r="V33" s="130" t="str">
        <f>($V$22/$U$22)*U33</f>
        <v>0</v>
      </c>
      <c r="W33" s="130" t="str">
        <f>(P33+T33)/($P$22+$T$22)</f>
        <v>0</v>
      </c>
      <c r="X33" s="437"/>
      <c r="AB33" s="623"/>
      <c r="AC33" s="356" t="s">
        <v>40</v>
      </c>
      <c r="AD33" s="357" t="s">
        <v>213</v>
      </c>
      <c r="AE33" s="364" t="str">
        <f>$O$35</f>
        <v>0</v>
      </c>
      <c r="AF33" s="364" t="str">
        <f>$P$35</f>
        <v>0</v>
      </c>
      <c r="AG33" s="356" t="s">
        <v>126</v>
      </c>
      <c r="AH33" s="441" t="s">
        <v>127</v>
      </c>
      <c r="AI33" s="370">
        <v>0</v>
      </c>
      <c r="AJ33" s="370" t="str">
        <f>($T$35-$S$35)*2/3</f>
        <v>0</v>
      </c>
      <c r="AL33" s="408" t="str">
        <f>$AI$4*$AL$6+$AI$5*$AL$6</f>
        <v>0</v>
      </c>
      <c r="AM33" s="409" t="str">
        <f>AL33+AN33*20%</f>
        <v>0</v>
      </c>
      <c r="AN33" s="410" t="str">
        <f>$AI$4*$AN$6*75%</f>
        <v>0</v>
      </c>
      <c r="AO33" s="411" t="str">
        <f>AN33/75%</f>
        <v>0</v>
      </c>
    </row>
    <row r="34" spans="1:42" customHeight="1" ht="15.75">
      <c r="A34" s="611"/>
      <c r="B34" s="70" t="s">
        <v>56</v>
      </c>
      <c r="C34" s="8">
        <v>16</v>
      </c>
      <c r="D34" s="43">
        <v>0.0132</v>
      </c>
      <c r="E34" s="2" t="str">
        <f>E$7*D34</f>
        <v>0</v>
      </c>
      <c r="F34" s="130" t="str">
        <f>E34/$E$22</f>
        <v>0</v>
      </c>
      <c r="G34" s="13" t="str">
        <f>1.32%</f>
        <v>0</v>
      </c>
      <c r="H34" s="79" t="str">
        <f>G34/$G$38</f>
        <v>0</v>
      </c>
      <c r="I34" s="99">
        <v>0</v>
      </c>
      <c r="J34" s="85" t="str">
        <f>I34/$I$38</f>
        <v>0</v>
      </c>
      <c r="K34" s="13" t="str">
        <f>0.6%-0.1%</f>
        <v>0</v>
      </c>
      <c r="L34" s="117" t="str">
        <f>K34/$K$38</f>
        <v>0</v>
      </c>
      <c r="M34" s="434"/>
      <c r="N34" s="85" t="str">
        <f>M34/$M$38</f>
        <v>0</v>
      </c>
      <c r="O34" s="46" t="str">
        <f>G34*$E$7</f>
        <v>0</v>
      </c>
      <c r="P34" s="46" t="str">
        <f>K34*$E$7+O34</f>
        <v>0</v>
      </c>
      <c r="Q34" s="79" t="str">
        <f>P34/$P$38</f>
        <v>0</v>
      </c>
      <c r="R34" s="130" t="str">
        <f>($R$22/$Q$22)*Q34</f>
        <v>0</v>
      </c>
      <c r="S34" s="47" t="str">
        <f>I34*$E$7</f>
        <v>0</v>
      </c>
      <c r="T34" s="47" t="str">
        <f>M34*$E$7+S34</f>
        <v>0</v>
      </c>
      <c r="U34" s="85" t="str">
        <f>T34/$T$38</f>
        <v>0</v>
      </c>
      <c r="V34" s="130" t="str">
        <f>($V$22/$U$22)*U34</f>
        <v>0</v>
      </c>
      <c r="W34" s="130" t="str">
        <f>(P34+T34)/($P$22+$T$22)</f>
        <v>0</v>
      </c>
      <c r="X34" s="437"/>
      <c r="AB34" s="387"/>
      <c r="AC34" s="385"/>
      <c r="AD34" s="233"/>
      <c r="AE34" s="232"/>
      <c r="AF34" s="232"/>
      <c r="AG34" s="385"/>
      <c r="AH34" s="386"/>
      <c r="AI34" s="231"/>
      <c r="AJ34" s="231"/>
      <c r="AL34" s="408"/>
      <c r="AM34" s="408"/>
      <c r="AN34" s="410"/>
      <c r="AO34" s="410"/>
    </row>
    <row r="35" spans="1:42" customHeight="1" ht="15.75">
      <c r="A35" s="611"/>
      <c r="B35" s="70" t="s">
        <v>214</v>
      </c>
      <c r="C35" s="8">
        <v>16</v>
      </c>
      <c r="D35" s="43">
        <v>0.0225</v>
      </c>
      <c r="E35" s="2" t="str">
        <f>E$7*D35</f>
        <v>0</v>
      </c>
      <c r="F35" s="129" t="str">
        <f>E35/$E$22</f>
        <v>0</v>
      </c>
      <c r="G35" s="13">
        <v>0.0026748251748252</v>
      </c>
      <c r="H35" s="79" t="str">
        <f>G35/$G$38</f>
        <v>0</v>
      </c>
      <c r="I35" s="99">
        <v>0.019825174825175</v>
      </c>
      <c r="J35" s="85" t="str">
        <f>I35/$I$38</f>
        <v>0</v>
      </c>
      <c r="K35" s="434"/>
      <c r="L35" s="78"/>
      <c r="M35" s="565" t="str">
        <f>6%-0.54%-0.21%-0.5%</f>
        <v>0</v>
      </c>
      <c r="N35" s="85" t="str">
        <f>M35/$M$38</f>
        <v>0</v>
      </c>
      <c r="O35" s="46" t="str">
        <f>G35*$E$7</f>
        <v>0</v>
      </c>
      <c r="P35" s="46" t="str">
        <f>K35*$E$7+O35</f>
        <v>0</v>
      </c>
      <c r="Q35" s="79" t="str">
        <f>P35/$P$38</f>
        <v>0</v>
      </c>
      <c r="R35" s="130" t="str">
        <f>($R$22/$Q$22)*Q35</f>
        <v>0</v>
      </c>
      <c r="S35" s="47" t="str">
        <f>I35*$E$7</f>
        <v>0</v>
      </c>
      <c r="T35" s="47" t="str">
        <f>M35*$E$7+S35</f>
        <v>0</v>
      </c>
      <c r="U35" s="85" t="str">
        <f>T35/$T$38</f>
        <v>0</v>
      </c>
      <c r="V35" s="130" t="str">
        <f>($V$22/$U$22)*U35</f>
        <v>0</v>
      </c>
      <c r="W35" s="129" t="str">
        <f>(P35+T35)/($P$22+$T$22)</f>
        <v>0</v>
      </c>
      <c r="X35" s="447"/>
      <c r="AB35" s="234"/>
      <c r="AC35" s="235"/>
      <c r="AD35" s="236"/>
      <c r="AE35" s="68" t="str">
        <f>SUM(AE6:AE34)</f>
        <v>0</v>
      </c>
      <c r="AF35" s="68" t="str">
        <f>SUM(AF6:AF34)</f>
        <v>0</v>
      </c>
      <c r="AG35" s="235"/>
      <c r="AH35" s="236"/>
      <c r="AI35" s="68" t="str">
        <f>SUM(AI6:AI34)</f>
        <v>0</v>
      </c>
      <c r="AJ35" s="68" t="str">
        <f>SUM(AJ5:AJ34)</f>
        <v>0</v>
      </c>
      <c r="AL35" s="408" t="str">
        <f>$AI$4*$AL$7+$AI$5*$AL$7</f>
        <v>0</v>
      </c>
      <c r="AM35" s="409" t="str">
        <f>AL35+AN35*20%</f>
        <v>0</v>
      </c>
      <c r="AN35" s="410" t="str">
        <f>$AI$4*$AN$6*25%+$AI$5*$AN$6</f>
        <v>0</v>
      </c>
      <c r="AO35" s="411" t="str">
        <f>AN35/75%</f>
        <v>0</v>
      </c>
    </row>
    <row r="36" spans="1:42" customHeight="1" ht="15.75">
      <c r="A36" s="611"/>
      <c r="B36" s="70" t="s">
        <v>215</v>
      </c>
      <c r="C36" s="456"/>
      <c r="D36" s="43"/>
      <c r="E36" s="2"/>
      <c r="F36" s="136"/>
      <c r="G36" s="139"/>
      <c r="H36" s="126"/>
      <c r="I36" s="38"/>
      <c r="J36" s="126"/>
      <c r="K36" s="38"/>
      <c r="L36" s="126"/>
      <c r="M36" s="38"/>
      <c r="N36" s="126"/>
      <c r="O36" s="139"/>
      <c r="P36" s="64"/>
      <c r="Q36" s="126"/>
      <c r="R36" s="136"/>
      <c r="S36" s="64"/>
      <c r="T36" s="64"/>
      <c r="U36" s="126"/>
      <c r="V36" s="136"/>
      <c r="W36" s="136"/>
      <c r="X36" s="451"/>
      <c r="AB36" s="225"/>
      <c r="AC36" s="237"/>
      <c r="AD36" s="224"/>
      <c r="AE36" s="224"/>
      <c r="AF36" s="224"/>
      <c r="AG36" s="237"/>
      <c r="AH36" s="224"/>
      <c r="AI36" s="224"/>
      <c r="AJ36" s="225"/>
      <c r="AL36" s="408"/>
      <c r="AM36" s="408"/>
      <c r="AN36" s="410"/>
      <c r="AO36" s="410"/>
    </row>
    <row r="37" spans="1:42" customHeight="1" ht="15.75">
      <c r="A37" s="612"/>
      <c r="B37" s="40" t="s">
        <v>216</v>
      </c>
      <c r="C37" s="17">
        <v>17</v>
      </c>
      <c r="D37" s="56">
        <v>0.009</v>
      </c>
      <c r="E37" s="142" t="str">
        <f>E$7*D37</f>
        <v>0</v>
      </c>
      <c r="F37" s="145" t="str">
        <f>E37/$E$22</f>
        <v>0</v>
      </c>
      <c r="G37" s="18">
        <v>0.009</v>
      </c>
      <c r="H37" s="82" t="str">
        <f>G37/$G$38</f>
        <v>0</v>
      </c>
      <c r="I37" s="140"/>
      <c r="J37" s="140"/>
      <c r="K37" s="18">
        <v>0</v>
      </c>
      <c r="L37" s="118" t="str">
        <f>K37/$K$38</f>
        <v>0</v>
      </c>
      <c r="M37" s="140"/>
      <c r="N37" s="140"/>
      <c r="O37" s="57" t="str">
        <f>G37*$E$7</f>
        <v>0</v>
      </c>
      <c r="P37" s="57" t="str">
        <f>K37*$E$7+O37</f>
        <v>0</v>
      </c>
      <c r="Q37" s="82" t="str">
        <f>P37/$P$38</f>
        <v>0</v>
      </c>
      <c r="R37" s="145" t="str">
        <f>($R$22/$Q$22)*Q37</f>
        <v>0</v>
      </c>
      <c r="S37" s="140"/>
      <c r="T37" s="140"/>
      <c r="U37" s="140"/>
      <c r="V37" s="457"/>
      <c r="W37" s="145" t="str">
        <f>(P37+T37)/($P$22+$T$22)</f>
        <v>0</v>
      </c>
      <c r="X37" s="438"/>
      <c r="AL37" s="408"/>
      <c r="AM37" s="408"/>
      <c r="AN37" s="410"/>
      <c r="AO37" s="410"/>
    </row>
    <row r="38" spans="1:42" customHeight="1" ht="15.75">
      <c r="A38" s="458"/>
      <c r="B38" s="459" t="s">
        <v>217</v>
      </c>
      <c r="C38" s="460"/>
      <c r="D38" s="461" t="str">
        <f>SUM(D12:D37)</f>
        <v>0</v>
      </c>
      <c r="E38" s="462" t="str">
        <f>SUM(E12:E37)</f>
        <v>0</v>
      </c>
      <c r="F38" s="463" t="str">
        <f>E38/$E$22</f>
        <v>0</v>
      </c>
      <c r="G38" s="464" t="str">
        <f>SUM(G12:G37)</f>
        <v>0</v>
      </c>
      <c r="H38" s="465" t="str">
        <f>SUM(H13:H37)</f>
        <v>0</v>
      </c>
      <c r="I38" s="464" t="str">
        <f>SUM(I12:I37)</f>
        <v>0</v>
      </c>
      <c r="J38" s="465" t="str">
        <f>SUM(J13:J37)</f>
        <v>0</v>
      </c>
      <c r="K38" s="464" t="str">
        <f>SUM(K12:K37)</f>
        <v>0</v>
      </c>
      <c r="L38" s="466" t="str">
        <f>SUM(L13:L37)</f>
        <v>0</v>
      </c>
      <c r="M38" s="464" t="str">
        <f>SUM(M12:M37)</f>
        <v>0</v>
      </c>
      <c r="N38" s="465" t="str">
        <f>SUM(N13:N37)</f>
        <v>0</v>
      </c>
      <c r="O38" s="406" t="str">
        <f>SUM(O12:O37)</f>
        <v>0</v>
      </c>
      <c r="P38" s="406" t="str">
        <f>SUM(P12:P37)</f>
        <v>0</v>
      </c>
      <c r="Q38" s="467" t="str">
        <f>SUM(Q13:Q37)</f>
        <v>0</v>
      </c>
      <c r="R38" s="463" t="str">
        <f>SUM(R13:R37)</f>
        <v>0</v>
      </c>
      <c r="S38" s="406" t="str">
        <f>SUM(S12:S37)</f>
        <v>0</v>
      </c>
      <c r="T38" s="406" t="str">
        <f>SUM(T12:T37)</f>
        <v>0</v>
      </c>
      <c r="U38" s="467" t="str">
        <f>SUM(U13:U37)</f>
        <v>0</v>
      </c>
      <c r="V38" s="463" t="str">
        <f>SUM(V13:V37)</f>
        <v>0</v>
      </c>
      <c r="W38" s="463" t="str">
        <f>(P38+T38)/($P$22+$T$22)</f>
        <v>0</v>
      </c>
      <c r="X38" s="468" t="str">
        <f>W38/F38</f>
        <v>0</v>
      </c>
      <c r="AL38" s="406" t="str">
        <f>SUM(AL12:AL37)</f>
        <v>0</v>
      </c>
      <c r="AM38" s="406" t="str">
        <f>SUM(AM12:AM37)</f>
        <v>0</v>
      </c>
      <c r="AN38" s="406" t="str">
        <f>SUM(AN12:AN37)</f>
        <v>0</v>
      </c>
      <c r="AO38" s="406" t="str">
        <f>SUM(AO12:AO37)</f>
        <v>0</v>
      </c>
    </row>
    <row r="39" spans="1:42">
      <c r="F39" s="272"/>
      <c r="G39" s="629" t="str">
        <f>G38+I38</f>
        <v>0</v>
      </c>
      <c r="H39" s="630"/>
      <c r="I39" s="631"/>
      <c r="J39" s="271"/>
      <c r="K39" s="631" t="str">
        <f>K38+M38</f>
        <v>0</v>
      </c>
      <c r="L39" s="631"/>
      <c r="M39" s="631"/>
      <c r="N39" s="271"/>
      <c r="O39" s="632" t="str">
        <f>(P38-O38)/S38</f>
        <v>0</v>
      </c>
      <c r="P39" s="630"/>
      <c r="Q39" s="272"/>
      <c r="R39" s="272"/>
      <c r="S39" s="632" t="str">
        <f>T38/S38-1</f>
        <v>0</v>
      </c>
      <c r="T39" s="633"/>
      <c r="U39" s="271"/>
      <c r="V39" s="125"/>
      <c r="W39" s="272"/>
      <c r="X39" s="289" t="str">
        <f>S38/T38</f>
        <v>0</v>
      </c>
      <c r="Y39" t="s">
        <v>218</v>
      </c>
    </row>
    <row r="40" spans="1:42" customHeight="1" ht="15.75">
      <c r="F40" s="270"/>
      <c r="G40" s="103" t="str">
        <f>G38/G39</f>
        <v>0</v>
      </c>
      <c r="H40" s="104"/>
      <c r="I40" s="105" t="str">
        <f>I38/G39</f>
        <v>0</v>
      </c>
      <c r="J40" s="76"/>
      <c r="K40" s="634" t="s">
        <v>244</v>
      </c>
      <c r="L40" s="635"/>
      <c r="M40" s="636"/>
      <c r="N40" s="321"/>
      <c r="O40" s="637">
        <v>0.2</v>
      </c>
      <c r="P40" s="638"/>
      <c r="Q40" s="270"/>
      <c r="R40" s="270"/>
      <c r="S40" s="637" t="str">
        <f>1/0.75-1</f>
        <v>0</v>
      </c>
      <c r="T40" s="639"/>
      <c r="U40" s="91"/>
      <c r="V40" s="124"/>
      <c r="W40" s="270"/>
      <c r="X40" s="289" t="str">
        <f>O38/P38</f>
        <v>0</v>
      </c>
      <c r="Y40" t="s">
        <v>220</v>
      </c>
    </row>
    <row r="41" spans="1:42" customHeight="1" ht="30.75">
      <c r="D41" s="106"/>
      <c r="E41" s="290"/>
      <c r="F41" s="291"/>
      <c r="G41" s="291"/>
      <c r="H41" s="291"/>
      <c r="I41" s="291"/>
      <c r="J41" s="291"/>
      <c r="K41" s="291"/>
      <c r="L41" s="291"/>
      <c r="M41" s="291"/>
      <c r="N41" s="291"/>
      <c r="O41" s="292" t="str">
        <f>O38/(O38+S38)</f>
        <v>0</v>
      </c>
      <c r="P41" s="292" t="str">
        <f>P38/(P38+T38)</f>
        <v>0</v>
      </c>
      <c r="Q41" s="291"/>
      <c r="R41" s="291"/>
      <c r="S41" s="292" t="str">
        <f>S38/(O38+S38)</f>
        <v>0</v>
      </c>
      <c r="T41" s="292" t="str">
        <f>T38/(P38+T38)</f>
        <v>0</v>
      </c>
      <c r="U41" s="293"/>
      <c r="V41" s="294"/>
      <c r="W41" s="291"/>
      <c r="X41" s="295" t="str">
        <f>(O38+S38+E41)/(P38+T38+E41)</f>
        <v>0</v>
      </c>
      <c r="Y41" s="296" t="s">
        <v>221</v>
      </c>
    </row>
    <row r="42" spans="1:42" customHeight="1" ht="45">
      <c r="A42" s="627" t="s">
        <v>222</v>
      </c>
      <c r="B42" s="39" t="s">
        <v>223</v>
      </c>
      <c r="C42" s="15"/>
      <c r="D42" s="109">
        <v>0.05</v>
      </c>
      <c r="E42" s="93" t="str">
        <f>E$4*D42</f>
        <v>0</v>
      </c>
      <c r="F42" s="122"/>
      <c r="G42" s="71"/>
      <c r="H42" s="71"/>
      <c r="I42" s="72"/>
      <c r="J42" s="72"/>
      <c r="K42" s="72"/>
      <c r="L42" s="71"/>
      <c r="M42" s="72"/>
      <c r="N42" s="72"/>
      <c r="O42" s="34"/>
      <c r="P42" s="35"/>
      <c r="Q42" s="71"/>
      <c r="R42" s="122"/>
      <c r="S42" s="35"/>
      <c r="T42" s="35"/>
      <c r="U42" s="71"/>
      <c r="V42" s="71"/>
      <c r="W42" s="122"/>
      <c r="X42" s="297" t="str">
        <f>(O38+S38+E41+E42)/(P38+T38+E41)</f>
        <v>0</v>
      </c>
      <c r="Y42" s="296" t="s">
        <v>224</v>
      </c>
    </row>
    <row r="43" spans="1:42" customHeight="1" ht="45.75">
      <c r="A43" s="628"/>
      <c r="B43" s="40" t="s">
        <v>225</v>
      </c>
      <c r="C43" s="17"/>
      <c r="D43" s="110">
        <v>0.05</v>
      </c>
      <c r="E43" s="27" t="str">
        <f>E$4*D43</f>
        <v>0</v>
      </c>
      <c r="F43" s="123"/>
      <c r="G43" s="73"/>
      <c r="H43" s="73"/>
      <c r="I43" s="74"/>
      <c r="J43" s="75"/>
      <c r="K43" s="75"/>
      <c r="L43" s="73"/>
      <c r="M43" s="75"/>
      <c r="N43" s="75"/>
      <c r="O43" s="36"/>
      <c r="P43" s="36"/>
      <c r="Q43" s="73"/>
      <c r="R43" s="123"/>
      <c r="S43" s="36"/>
      <c r="T43" s="36"/>
      <c r="U43" s="73"/>
      <c r="V43" s="73"/>
      <c r="W43" s="123"/>
      <c r="X43" s="298" t="str">
        <f>(O38+S38+E41+E42+E43)/(P38+T38+E41+E43/2)</f>
        <v>0</v>
      </c>
      <c r="Y43" s="296" t="s">
        <v>226</v>
      </c>
    </row>
    <row r="44" spans="1:42" customHeight="1" ht="15.75" s="1" customFormat="1">
      <c r="A44" s="28"/>
      <c r="B44" s="29"/>
      <c r="C44" s="30"/>
      <c r="D44" s="107" t="str">
        <f>D38+D42+D43</f>
        <v>0</v>
      </c>
      <c r="E44" s="108" t="str">
        <f>E38+E41+E42+E43</f>
        <v>0</v>
      </c>
      <c r="F44" s="32"/>
      <c r="G44" s="32"/>
      <c r="H44" s="32"/>
      <c r="I44" s="33"/>
      <c r="J44" s="33"/>
      <c r="K44" s="33"/>
      <c r="L44" s="32"/>
      <c r="M44" s="33"/>
      <c r="N44" s="33"/>
      <c r="O44" s="31"/>
      <c r="P44" s="31"/>
      <c r="Q44" s="32"/>
      <c r="R44" s="32"/>
      <c r="S44" s="31"/>
      <c r="T44" s="31"/>
      <c r="U44" s="32"/>
      <c r="V44" s="32"/>
      <c r="W44" s="32"/>
      <c r="X44" s="299" t="str">
        <f>1/X43</f>
        <v>0</v>
      </c>
      <c r="Y44" s="300" t="s">
        <v>227</v>
      </c>
      <c r="AB44" s="1"/>
      <c r="AC44" s="1"/>
      <c r="AD44" s="1"/>
      <c r="AE44" s="1"/>
      <c r="AF44" s="1"/>
      <c r="AG44" s="1"/>
      <c r="AH44" s="1"/>
      <c r="AI44" s="1"/>
      <c r="AJ44" s="1"/>
    </row>
    <row r="45" spans="1:42" customHeight="1" ht="60">
      <c r="A45" s="10"/>
      <c r="B45" s="301"/>
      <c r="C45" s="106"/>
      <c r="D45" s="106"/>
      <c r="E45" s="111"/>
      <c r="F45" s="302"/>
      <c r="G45" s="302" t="s">
        <v>228</v>
      </c>
      <c r="H45" s="111"/>
      <c r="I45" s="302" t="s">
        <v>229</v>
      </c>
      <c r="J45" s="111"/>
      <c r="K45" s="302" t="s">
        <v>228</v>
      </c>
      <c r="L45" s="111"/>
      <c r="M45" s="302" t="s">
        <v>229</v>
      </c>
      <c r="N45" s="111"/>
      <c r="O45" s="302" t="s">
        <v>230</v>
      </c>
      <c r="P45" s="302" t="s">
        <v>231</v>
      </c>
      <c r="Q45" s="302" t="s">
        <v>228</v>
      </c>
      <c r="R45" s="302"/>
      <c r="S45" s="111"/>
      <c r="T45" s="111"/>
      <c r="U45" s="302" t="s">
        <v>229</v>
      </c>
      <c r="V45" s="302"/>
      <c r="W45" s="302"/>
    </row>
    <row r="46" spans="1:42">
      <c r="A46" s="303"/>
      <c r="B46" s="301" t="s">
        <v>232</v>
      </c>
      <c r="C46" s="304" t="s">
        <v>233</v>
      </c>
      <c r="D46" s="106"/>
      <c r="E46" s="111"/>
      <c r="F46" s="305"/>
      <c r="G46" s="112" t="str">
        <f>SUM(G12:G19)+SUM(G23:G24)+G26</f>
        <v>0</v>
      </c>
      <c r="H46" s="111"/>
      <c r="I46" s="112" t="str">
        <f>SUM(I12:I19)+SUM(I23:I24)+I26</f>
        <v>0</v>
      </c>
      <c r="J46" s="111"/>
      <c r="K46" s="112" t="str">
        <f>SUM(K12:K19)+SUM(K23:K24)+K26</f>
        <v>0</v>
      </c>
      <c r="L46" s="111"/>
      <c r="M46" s="112" t="str">
        <f>SUM(M12:M19)+SUM(M23:M24)+M26</f>
        <v>0</v>
      </c>
      <c r="N46" s="111"/>
      <c r="O46" s="306">
        <v>0.016</v>
      </c>
      <c r="P46" s="307" t="str">
        <f>(SUM(P12:P19)+SUM(P23:P24)+P26)*O46/Q46</f>
        <v>0</v>
      </c>
      <c r="Q46" s="305" t="str">
        <f>SUM(Q12:Q19)+SUM(Q23:Q24)+Q26</f>
        <v>0</v>
      </c>
      <c r="R46" s="305"/>
      <c r="S46" s="112"/>
      <c r="T46" s="112"/>
      <c r="U46" s="113" t="str">
        <f>SUM(U12:U19)+SUM(U23:U24)+U26</f>
        <v>0</v>
      </c>
      <c r="V46" s="113"/>
      <c r="W46" s="305"/>
    </row>
    <row r="47" spans="1:42">
      <c r="A47" s="11"/>
      <c r="B47" s="301" t="s">
        <v>234</v>
      </c>
      <c r="C47" s="304" t="s">
        <v>235</v>
      </c>
      <c r="D47" s="106"/>
      <c r="E47" s="111"/>
      <c r="F47" s="305"/>
      <c r="G47" s="112" t="str">
        <f>SUM(G20:G22)</f>
        <v>0</v>
      </c>
      <c r="H47" s="111"/>
      <c r="I47" s="112" t="str">
        <f>SUM(I20:I22)</f>
        <v>0</v>
      </c>
      <c r="J47" s="111"/>
      <c r="K47" s="112" t="str">
        <f>SUM(K20:K22)</f>
        <v>0</v>
      </c>
      <c r="L47" s="111"/>
      <c r="M47" s="112" t="str">
        <f>SUM(M20:M22)</f>
        <v>0</v>
      </c>
      <c r="N47" s="111"/>
      <c r="O47" s="306">
        <v>0.021</v>
      </c>
      <c r="P47" s="307" t="str">
        <f>SUM(P20:P22)*O47/Q47</f>
        <v>0</v>
      </c>
      <c r="Q47" s="305" t="str">
        <f>SUM(Q20:Q22)</f>
        <v>0</v>
      </c>
      <c r="R47" s="305"/>
      <c r="S47" s="112"/>
      <c r="T47" s="112"/>
      <c r="U47" s="113" t="str">
        <f>SUM(U20:U22)</f>
        <v>0</v>
      </c>
      <c r="V47" s="113"/>
      <c r="W47" s="305"/>
    </row>
    <row r="48" spans="1:42">
      <c r="A48" s="11"/>
      <c r="B48" s="301" t="s">
        <v>236</v>
      </c>
      <c r="C48" s="304" t="s">
        <v>233</v>
      </c>
      <c r="D48" s="106"/>
      <c r="E48" s="111"/>
      <c r="F48" s="305"/>
      <c r="G48" s="112" t="str">
        <f>G27+G25</f>
        <v>0</v>
      </c>
      <c r="H48" s="111"/>
      <c r="I48" s="112" t="str">
        <f>I27+I25</f>
        <v>0</v>
      </c>
      <c r="J48" s="111"/>
      <c r="K48" s="112" t="str">
        <f>K27+K25</f>
        <v>0</v>
      </c>
      <c r="L48" s="111"/>
      <c r="M48" s="112" t="str">
        <f>M27+M25</f>
        <v>0</v>
      </c>
      <c r="N48" s="111"/>
      <c r="O48" s="306">
        <v>0.02</v>
      </c>
      <c r="P48" s="307" t="str">
        <f>(P27+P25)*O48/Q48</f>
        <v>0</v>
      </c>
      <c r="Q48" s="305" t="str">
        <f>Q27+Q25</f>
        <v>0</v>
      </c>
      <c r="R48" s="305"/>
      <c r="S48" s="112"/>
      <c r="T48" s="112"/>
      <c r="U48" s="113" t="str">
        <f>U27+U25</f>
        <v>0</v>
      </c>
      <c r="V48" s="113"/>
      <c r="W48" s="305"/>
    </row>
    <row r="49" spans="1:42">
      <c r="A49" s="11"/>
      <c r="B49" s="301" t="s">
        <v>237</v>
      </c>
      <c r="C49" s="304" t="s">
        <v>238</v>
      </c>
      <c r="D49" s="106"/>
      <c r="E49" s="111"/>
      <c r="F49" s="305"/>
      <c r="G49" s="112" t="str">
        <f>G29+G37+G31</f>
        <v>0</v>
      </c>
      <c r="H49" s="111"/>
      <c r="I49" s="112" t="str">
        <f>I29+I37+I31</f>
        <v>0</v>
      </c>
      <c r="J49" s="111"/>
      <c r="K49" s="112" t="str">
        <f>K29+K37+K31</f>
        <v>0</v>
      </c>
      <c r="L49" s="111"/>
      <c r="M49" s="112" t="str">
        <f>M29+M37+M31</f>
        <v>0</v>
      </c>
      <c r="N49" s="111"/>
      <c r="O49" s="306">
        <v>0.01</v>
      </c>
      <c r="P49" s="307" t="str">
        <f>(P29+P37+P31)*O49/Q49</f>
        <v>0</v>
      </c>
      <c r="Q49" s="305" t="str">
        <f>Q29+Q37+Q31</f>
        <v>0</v>
      </c>
      <c r="R49" s="305"/>
      <c r="S49" s="112"/>
      <c r="T49" s="112"/>
      <c r="U49" s="113" t="str">
        <f>U29+U37+U31</f>
        <v>0</v>
      </c>
      <c r="V49" s="113"/>
      <c r="W49" s="305"/>
      <c r="AB49" s="1"/>
      <c r="AC49" s="1"/>
      <c r="AD49" s="1"/>
      <c r="AE49" s="1"/>
      <c r="AF49" s="1"/>
      <c r="AG49" s="1"/>
      <c r="AH49" s="1"/>
      <c r="AI49" s="1"/>
      <c r="AJ49" s="1"/>
    </row>
    <row r="50" spans="1:42" customHeight="1" ht="15.75">
      <c r="A50" s="11"/>
      <c r="B50" s="301" t="s">
        <v>239</v>
      </c>
      <c r="C50" s="304" t="s">
        <v>240</v>
      </c>
      <c r="D50" s="106"/>
      <c r="E50" s="111"/>
      <c r="F50" s="308"/>
      <c r="G50" s="309" t="str">
        <f>SUM(G34:G35)</f>
        <v>0</v>
      </c>
      <c r="H50" s="111"/>
      <c r="I50" s="309" t="str">
        <f>SUM(I34:I35)</f>
        <v>0</v>
      </c>
      <c r="J50" s="111"/>
      <c r="K50" s="309" t="str">
        <f>SUM(K34:K35)</f>
        <v>0</v>
      </c>
      <c r="L50" s="111"/>
      <c r="M50" s="309" t="str">
        <f>SUM(M34:M35)</f>
        <v>0</v>
      </c>
      <c r="N50" s="111"/>
      <c r="O50" s="310">
        <v>0</v>
      </c>
      <c r="P50" s="311" t="str">
        <f>SUM(P34:P35)*O50/Q50</f>
        <v>0</v>
      </c>
      <c r="Q50" s="312" t="str">
        <f>SUM(Q34:Q35)</f>
        <v>0</v>
      </c>
      <c r="R50" s="308"/>
      <c r="S50" s="313"/>
      <c r="T50" s="313"/>
      <c r="U50" s="312" t="str">
        <f>SUM(U34:U35)</f>
        <v>0</v>
      </c>
      <c r="V50" s="308"/>
      <c r="W50" s="308"/>
    </row>
    <row r="51" spans="1:42">
      <c r="A51" s="11"/>
      <c r="B51" s="111"/>
      <c r="C51" s="106"/>
      <c r="D51" s="106"/>
      <c r="E51" s="111"/>
      <c r="F51" s="113"/>
      <c r="G51" s="112" t="str">
        <f>SUM(G46:G50)</f>
        <v>0</v>
      </c>
      <c r="H51" s="111"/>
      <c r="I51" s="112" t="str">
        <f>SUM(I46:I50)</f>
        <v>0</v>
      </c>
      <c r="J51" s="111"/>
      <c r="K51" s="112" t="str">
        <f>SUM(K46:K50)</f>
        <v>0</v>
      </c>
      <c r="L51" s="111"/>
      <c r="M51" s="112" t="str">
        <f>SUM(M46:M50)</f>
        <v>0</v>
      </c>
      <c r="N51" s="111"/>
      <c r="O51" s="112" t="str">
        <f>SUM(O46:O50)</f>
        <v>0</v>
      </c>
      <c r="P51" s="114" t="str">
        <f>SUM(P46:P50)</f>
        <v>0</v>
      </c>
      <c r="Q51" s="113" t="str">
        <f>SUM(Q46:Q50)</f>
        <v>0</v>
      </c>
      <c r="R51" s="113"/>
      <c r="S51" s="112"/>
      <c r="T51" s="112"/>
      <c r="U51" s="113" t="str">
        <f>SUM(U46:U50)</f>
        <v>0</v>
      </c>
      <c r="V51" s="113"/>
      <c r="W51" s="113"/>
    </row>
    <row r="52" spans="1:42">
      <c r="A52" s="11"/>
      <c r="P52" s="92"/>
      <c r="S52" s="116"/>
    </row>
    <row r="53" spans="1:42">
      <c r="A53" s="11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</row>
    <row r="55" spans="1:42">
      <c r="A55" s="10"/>
    </row>
    <row r="56" spans="1:42">
      <c r="C56" s="12"/>
      <c r="D56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L23:AM23"/>
    <mergeCell ref="AN23:AO23"/>
    <mergeCell ref="A9:B9"/>
    <mergeCell ref="A6:B6"/>
    <mergeCell ref="A3:B3"/>
    <mergeCell ref="A4:B4"/>
    <mergeCell ref="A5:B5"/>
    <mergeCell ref="A7:B7"/>
    <mergeCell ref="A8:B8"/>
    <mergeCell ref="AB21:AB24"/>
    <mergeCell ref="AG11:AH11"/>
    <mergeCell ref="G10:N10"/>
    <mergeCell ref="O10:V10"/>
    <mergeCell ref="A12:A19"/>
    <mergeCell ref="A20:A21"/>
    <mergeCell ref="A23:A24"/>
    <mergeCell ref="AC11:AD11"/>
    <mergeCell ref="AB25:AB28"/>
    <mergeCell ref="AB12:AB16"/>
    <mergeCell ref="AB17:AB20"/>
    <mergeCell ref="A42:A43"/>
    <mergeCell ref="G39:I39"/>
    <mergeCell ref="K39:M39"/>
    <mergeCell ref="O39:P39"/>
    <mergeCell ref="S39:T39"/>
    <mergeCell ref="K40:M40"/>
    <mergeCell ref="O40:P40"/>
    <mergeCell ref="S40:T40"/>
    <mergeCell ref="A31:A37"/>
    <mergeCell ref="AB29:AB33"/>
  </mergeCells>
  <printOptions gridLines="false" gridLinesSet="true"/>
  <pageMargins left="0.23622047244094" right="0.23622047244094" top="0.31496062992126" bottom="0.23622047244094" header="0.15748031496063" footer="0.15748031496063"/>
  <pageSetup paperSize="9" orientation="landscape" scale="21" fitToHeight="1" fitToWidth="1"/>
  <headerFooter differentOddEven="false" differentFirst="false" scaleWithDoc="true" alignWithMargins="true">
    <oddHeader/>
    <oddFooter>&amp;L&amp;F&amp;A&amp;R&amp;D&amp;T</oddFooter>
    <evenHeader/>
    <evenFooter/>
    <firstHeader/>
    <firstFooter/>
  </headerFooter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P56"/>
  <sheetViews>
    <sheetView tabSelected="0" workbookViewId="0" zoomScale="80" zoomScaleNormal="80" showGridLines="true" showRowColHeaders="1">
      <pane xSplit="5" ySplit="17" topLeftCell="F18" activePane="bottomRight" state="frozen"/>
      <selection pane="topRight"/>
      <selection pane="bottomLeft"/>
      <selection pane="bottomRight" activeCell="F18" sqref="F18"/>
    </sheetView>
  </sheetViews>
  <sheetFormatPr defaultRowHeight="14.4" defaultColWidth="19" outlineLevelRow="0" outlineLevelCol="0"/>
  <cols>
    <col min="1" max="1" width="22" customWidth="true" style="0"/>
    <col min="2" max="2" width="45.7109375" customWidth="true" style="0"/>
    <col min="3" max="3" width="5.85546875" customWidth="true" style="7"/>
    <col min="4" max="4" width="12.85546875" customWidth="true" style="7"/>
    <col min="5" max="5" width="13.7109375" customWidth="true" style="0"/>
    <col min="6" max="6" width="11.5703125" customWidth="true" style="0"/>
    <col min="7" max="7" width="12.42578125" customWidth="true" style="0"/>
    <col min="8" max="8" width="5.28515625" customWidth="true" style="0"/>
    <col min="9" max="9" width="12.85546875" customWidth="true" style="0"/>
    <col min="10" max="10" width="6" customWidth="true" style="0"/>
    <col min="11" max="11" width="12.85546875" customWidth="true" style="0"/>
    <col min="12" max="12" width="7.140625" customWidth="true" style="0"/>
    <col min="13" max="13" width="12.85546875" customWidth="true" style="0"/>
    <col min="14" max="14" width="5.28515625" customWidth="true" style="0"/>
    <col min="15" max="15" width="11.42578125" customWidth="true" style="0"/>
    <col min="16" max="16" width="12.85546875" customWidth="true" style="0"/>
    <col min="17" max="17" width="8.7109375" customWidth="true" style="0"/>
    <col min="18" max="18" width="11.5703125" customWidth="true" style="0"/>
    <col min="19" max="19" width="13.42578125" customWidth="true" style="0"/>
    <col min="20" max="20" width="11.85546875" customWidth="true" style="0"/>
    <col min="21" max="21" width="7.7109375" customWidth="true" style="0"/>
    <col min="22" max="22" width="11.28515625" customWidth="true" style="0"/>
    <col min="23" max="23" width="11.5703125" customWidth="true" style="0"/>
    <col min="24" max="24" width="26.28515625" customWidth="true" style="0"/>
    <col min="28" max="28" width="17.28515625" customWidth="true" style="0"/>
    <col min="29" max="29" width="8.140625" customWidth="true" style="0"/>
    <col min="30" max="30" width="36.28515625" customWidth="true" style="0"/>
    <col min="31" max="31" width="11.7109375" customWidth="true" style="0"/>
    <col min="32" max="32" width="11.140625" customWidth="true" style="0"/>
    <col min="33" max="33" width="6.85546875" customWidth="true" style="0"/>
    <col min="34" max="34" width="42.7109375" customWidth="true" style="0"/>
    <col min="35" max="35" width="11.7109375" customWidth="true" style="0"/>
    <col min="36" max="36" width="18.28515625" customWidth="true" style="0"/>
    <col min="37" max="37" width="20.140625" customWidth="true" style="0"/>
    <col min="38" max="38" width="13.85546875" customWidth="true" style="0"/>
    <col min="39" max="39" width="14.5703125" customWidth="true" style="0"/>
    <col min="40" max="40" width="13.7109375" customWidth="true" style="0"/>
    <col min="41" max="41" width="14.5703125" customWidth="true" style="0"/>
    <col min="42" max="42" width="11" customWidth="true" style="0"/>
  </cols>
  <sheetData>
    <row r="1" spans="1:42" customHeight="1" ht="26.25">
      <c r="A1" s="273" t="s">
        <v>241</v>
      </c>
      <c r="B1" s="273"/>
      <c r="C1" s="273"/>
      <c r="D1" s="273"/>
      <c r="E1" s="273"/>
      <c r="F1" s="273"/>
      <c r="G1" s="314" t="s">
        <v>245</v>
      </c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</row>
    <row r="2" spans="1:42" customHeight="1" ht="15.75">
      <c r="P2" s="274"/>
      <c r="S2" s="274"/>
      <c r="AM2" s="274"/>
      <c r="AN2" s="275"/>
    </row>
    <row r="3" spans="1:42" customHeight="1" ht="30.75">
      <c r="A3" s="644" t="s">
        <v>141</v>
      </c>
      <c r="B3" s="645"/>
      <c r="C3" s="4"/>
      <c r="D3" s="4"/>
      <c r="E3" s="275" t="s">
        <v>142</v>
      </c>
      <c r="P3" s="274"/>
      <c r="S3" s="274"/>
      <c r="AL3" s="415" t="s">
        <v>143</v>
      </c>
      <c r="AM3" s="416"/>
      <c r="AN3" s="417" t="s">
        <v>144</v>
      </c>
    </row>
    <row r="4" spans="1:42">
      <c r="A4" s="646" t="s">
        <v>13</v>
      </c>
      <c r="B4" s="647"/>
      <c r="C4" s="5"/>
      <c r="D4" s="5"/>
      <c r="E4" s="228" t="str">
        <f>'Indian Project'!R6</f>
        <v>0</v>
      </c>
      <c r="F4" s="275"/>
      <c r="G4" s="275"/>
      <c r="H4" s="275"/>
      <c r="L4" s="275"/>
      <c r="P4" s="274"/>
      <c r="Q4" s="275"/>
      <c r="R4" s="275"/>
      <c r="S4" s="274"/>
      <c r="T4" s="274"/>
      <c r="U4" s="275"/>
      <c r="V4" s="275"/>
      <c r="W4" s="275"/>
      <c r="AH4" s="405" t="s">
        <v>27</v>
      </c>
      <c r="AI4" s="403" t="str">
        <f>'Indian Project'!R16</f>
        <v>0</v>
      </c>
      <c r="AJ4" s="404"/>
      <c r="AK4" s="407" t="s">
        <v>31</v>
      </c>
      <c r="AL4" s="412">
        <v>0.15</v>
      </c>
      <c r="AM4" s="414"/>
      <c r="AN4" s="413">
        <v>0.66</v>
      </c>
    </row>
    <row r="5" spans="1:42">
      <c r="A5" s="648" t="s">
        <v>14</v>
      </c>
      <c r="B5" s="649"/>
      <c r="C5" s="98"/>
      <c r="D5" s="98"/>
      <c r="E5" s="276" t="str">
        <f>E4*90%</f>
        <v>0</v>
      </c>
      <c r="F5" s="275"/>
      <c r="G5" s="275"/>
      <c r="H5" s="275"/>
      <c r="L5" s="275"/>
      <c r="P5" s="274"/>
      <c r="Q5" s="275"/>
      <c r="R5" s="275"/>
      <c r="S5" s="274"/>
      <c r="T5" s="274"/>
      <c r="U5" s="275"/>
      <c r="V5" s="275"/>
      <c r="W5" s="275"/>
      <c r="AH5" s="405" t="s">
        <v>30</v>
      </c>
      <c r="AI5" s="403" t="str">
        <f>'Indian Project'!R18</f>
        <v>0</v>
      </c>
      <c r="AJ5" s="404"/>
      <c r="AK5" s="407" t="s">
        <v>45</v>
      </c>
      <c r="AL5" s="412">
        <v>0.18</v>
      </c>
      <c r="AM5" s="414"/>
      <c r="AN5" s="413">
        <v>0.63</v>
      </c>
    </row>
    <row r="6" spans="1:42" customHeight="1" ht="15.75">
      <c r="A6" s="648" t="s">
        <v>17</v>
      </c>
      <c r="B6" s="649"/>
      <c r="C6" s="97"/>
      <c r="D6" s="98"/>
      <c r="E6" s="229" t="str">
        <f>-AF6-AF7</f>
        <v>0</v>
      </c>
      <c r="F6" s="227" t="s">
        <v>145</v>
      </c>
      <c r="G6" s="227"/>
      <c r="H6" s="224"/>
      <c r="I6" s="224"/>
      <c r="J6" s="224"/>
      <c r="K6" s="227"/>
      <c r="L6" s="224"/>
      <c r="M6" s="224"/>
      <c r="N6" s="224"/>
      <c r="O6" s="226"/>
      <c r="P6" s="227"/>
      <c r="Q6" s="226"/>
      <c r="R6" s="226"/>
      <c r="S6" s="227"/>
      <c r="T6" s="224"/>
      <c r="U6" s="224"/>
      <c r="V6" s="224"/>
      <c r="W6" s="224"/>
      <c r="X6" s="224"/>
      <c r="Y6" s="224"/>
      <c r="Z6" s="225"/>
      <c r="AC6" s="478" t="s">
        <v>43</v>
      </c>
      <c r="AD6" s="479" t="s">
        <v>44</v>
      </c>
      <c r="AE6" s="479"/>
      <c r="AF6" s="230" t="str">
        <f>'Indian Project'!R12</f>
        <v>0</v>
      </c>
      <c r="AK6" s="407" t="s">
        <v>39</v>
      </c>
      <c r="AL6" s="412">
        <v>0.065</v>
      </c>
      <c r="AM6" s="414"/>
      <c r="AN6" s="413">
        <v>0.025</v>
      </c>
    </row>
    <row r="7" spans="1:42">
      <c r="A7" s="648" t="s">
        <v>18</v>
      </c>
      <c r="B7" s="649"/>
      <c r="C7" s="98"/>
      <c r="D7" s="98"/>
      <c r="E7" s="276" t="str">
        <f>E4+E6</f>
        <v>0</v>
      </c>
      <c r="F7" s="275"/>
      <c r="G7" s="275"/>
      <c r="H7" s="275"/>
      <c r="L7" s="275"/>
      <c r="P7" s="274"/>
      <c r="Q7" s="275"/>
      <c r="R7" s="275"/>
      <c r="S7" s="274"/>
      <c r="T7" s="274"/>
      <c r="U7" s="275"/>
      <c r="V7" s="275"/>
      <c r="W7" s="275"/>
      <c r="AC7" s="478" t="s">
        <v>104</v>
      </c>
      <c r="AD7" s="479" t="s">
        <v>105</v>
      </c>
      <c r="AE7" s="479"/>
      <c r="AF7" s="230" t="str">
        <f>'Indian Project'!R13</f>
        <v>0</v>
      </c>
      <c r="AK7" s="407" t="s">
        <v>146</v>
      </c>
      <c r="AL7" s="412">
        <v>0</v>
      </c>
      <c r="AM7" s="414"/>
      <c r="AN7" s="413">
        <v>0</v>
      </c>
    </row>
    <row r="8" spans="1:42">
      <c r="A8" s="660" t="s">
        <v>14</v>
      </c>
      <c r="B8" s="661"/>
      <c r="C8" s="98"/>
      <c r="D8" s="98"/>
      <c r="E8" s="276" t="str">
        <f>E7*0.9</f>
        <v>0</v>
      </c>
      <c r="F8" s="275"/>
      <c r="G8" s="275"/>
      <c r="H8" s="275"/>
      <c r="L8" s="275"/>
      <c r="P8" s="274"/>
      <c r="Q8" s="275"/>
      <c r="R8" s="275"/>
      <c r="S8" s="274"/>
      <c r="T8" s="274"/>
      <c r="U8" s="275"/>
      <c r="V8" s="275"/>
      <c r="W8" s="275"/>
      <c r="AN8" s="275"/>
    </row>
    <row r="9" spans="1:42" customHeight="1" ht="15.75">
      <c r="A9" s="653" t="s">
        <v>148</v>
      </c>
      <c r="B9" s="654"/>
      <c r="C9" s="6"/>
      <c r="D9" s="6"/>
      <c r="E9" s="277" t="str">
        <f>P38+T38</f>
        <v>0</v>
      </c>
      <c r="F9" s="275"/>
      <c r="G9" s="275"/>
      <c r="H9" s="275"/>
      <c r="L9" s="275"/>
      <c r="Q9" s="275"/>
      <c r="R9" s="275"/>
      <c r="U9" s="275"/>
      <c r="V9" s="275"/>
      <c r="W9" s="275"/>
      <c r="AN9" s="275"/>
    </row>
    <row r="10" spans="1:42" customHeight="1" ht="15.75" s="1" customFormat="1">
      <c r="A10" s="49"/>
      <c r="B10" s="50"/>
      <c r="C10" s="49"/>
      <c r="D10" s="32" t="str">
        <f>(E9+E41-E5+E43/2)/E4</f>
        <v>0</v>
      </c>
      <c r="E10" s="278" t="str">
        <f>E9/E8</f>
        <v>0</v>
      </c>
      <c r="F10" s="279"/>
      <c r="G10" s="662" t="s">
        <v>149</v>
      </c>
      <c r="H10" s="663"/>
      <c r="I10" s="663"/>
      <c r="J10" s="663"/>
      <c r="K10" s="663"/>
      <c r="L10" s="663"/>
      <c r="M10" s="663"/>
      <c r="N10" s="664"/>
      <c r="O10" s="662" t="s">
        <v>150</v>
      </c>
      <c r="P10" s="663"/>
      <c r="Q10" s="663"/>
      <c r="R10" s="663"/>
      <c r="S10" s="663"/>
      <c r="T10" s="663"/>
      <c r="U10" s="663"/>
      <c r="V10" s="664"/>
      <c r="W10" s="279"/>
    </row>
    <row r="11" spans="1:42" customHeight="1" ht="48.75">
      <c r="A11" s="51" t="s">
        <v>3</v>
      </c>
      <c r="B11" s="52" t="s">
        <v>151</v>
      </c>
      <c r="C11" s="52" t="s">
        <v>152</v>
      </c>
      <c r="D11" s="52" t="s">
        <v>153</v>
      </c>
      <c r="E11" s="141" t="s">
        <v>7</v>
      </c>
      <c r="F11" s="137" t="s">
        <v>154</v>
      </c>
      <c r="G11" s="53" t="s">
        <v>155</v>
      </c>
      <c r="H11" s="77" t="s">
        <v>156</v>
      </c>
      <c r="I11" s="54" t="s">
        <v>157</v>
      </c>
      <c r="J11" s="84" t="s">
        <v>156</v>
      </c>
      <c r="K11" s="53" t="s">
        <v>158</v>
      </c>
      <c r="L11" s="77" t="s">
        <v>156</v>
      </c>
      <c r="M11" s="54" t="s">
        <v>159</v>
      </c>
      <c r="N11" s="84" t="s">
        <v>156</v>
      </c>
      <c r="O11" s="53" t="s">
        <v>160</v>
      </c>
      <c r="P11" s="53" t="s">
        <v>161</v>
      </c>
      <c r="Q11" s="77" t="s">
        <v>156</v>
      </c>
      <c r="R11" s="137" t="s">
        <v>162</v>
      </c>
      <c r="S11" s="54" t="s">
        <v>163</v>
      </c>
      <c r="T11" s="54" t="s">
        <v>164</v>
      </c>
      <c r="U11" s="84" t="s">
        <v>156</v>
      </c>
      <c r="V11" s="137" t="s">
        <v>162</v>
      </c>
      <c r="W11" s="137" t="s">
        <v>165</v>
      </c>
      <c r="X11" s="54" t="s">
        <v>166</v>
      </c>
      <c r="AB11" s="482" t="s">
        <v>167</v>
      </c>
      <c r="AC11" s="614" t="s">
        <v>168</v>
      </c>
      <c r="AD11" s="614"/>
      <c r="AE11" s="53" t="s">
        <v>169</v>
      </c>
      <c r="AF11" s="53" t="s">
        <v>170</v>
      </c>
      <c r="AG11" s="613" t="s">
        <v>171</v>
      </c>
      <c r="AH11" s="613"/>
      <c r="AI11" s="54" t="s">
        <v>169</v>
      </c>
      <c r="AJ11" s="444" t="s">
        <v>170</v>
      </c>
    </row>
    <row r="12" spans="1:42">
      <c r="A12" s="610" t="s">
        <v>10</v>
      </c>
      <c r="B12" s="39" t="s">
        <v>172</v>
      </c>
      <c r="C12" s="15">
        <v>1</v>
      </c>
      <c r="D12" s="42">
        <v>0</v>
      </c>
      <c r="E12" s="16" t="s">
        <v>173</v>
      </c>
      <c r="F12" s="134"/>
      <c r="G12" s="94"/>
      <c r="H12" s="128"/>
      <c r="I12" s="94"/>
      <c r="J12" s="128"/>
      <c r="K12" s="94"/>
      <c r="L12" s="128"/>
      <c r="M12" s="94"/>
      <c r="N12" s="128"/>
      <c r="O12" s="55"/>
      <c r="P12" s="55"/>
      <c r="Q12" s="128"/>
      <c r="R12" s="134"/>
      <c r="S12" s="55"/>
      <c r="T12" s="55"/>
      <c r="U12" s="128"/>
      <c r="V12" s="134"/>
      <c r="W12" s="134"/>
      <c r="X12" s="280"/>
      <c r="Y12" s="281"/>
      <c r="AB12" s="619" t="s">
        <v>174</v>
      </c>
      <c r="AC12" s="322" t="s">
        <v>65</v>
      </c>
      <c r="AD12" s="323" t="s">
        <v>66</v>
      </c>
      <c r="AE12" s="324" t="str">
        <f>($O$14+$O$15+$O$16+$O$17+$O$18+$O$19+$O$23+$O$26+$O$24)*60%</f>
        <v>0</v>
      </c>
      <c r="AF12" s="324" t="str">
        <f>($P$14+$P$15+$P$16+$P$17+$P$18++$P$19+$P$23+$P$26+$P$24)*60%</f>
        <v>0</v>
      </c>
      <c r="AG12" s="322" t="s">
        <v>67</v>
      </c>
      <c r="AH12" s="323" t="s">
        <v>68</v>
      </c>
      <c r="AI12" s="365" t="str">
        <f>$S$14</f>
        <v>0</v>
      </c>
      <c r="AJ12" s="365" t="str">
        <f>$T$14</f>
        <v>0</v>
      </c>
    </row>
    <row r="13" spans="1:42">
      <c r="A13" s="611"/>
      <c r="B13" s="70" t="s">
        <v>175</v>
      </c>
      <c r="C13" s="8" t="s">
        <v>176</v>
      </c>
      <c r="D13" s="43">
        <v>0</v>
      </c>
      <c r="E13" s="2" t="s">
        <v>173</v>
      </c>
      <c r="F13" s="129"/>
      <c r="G13" s="9"/>
      <c r="H13" s="78"/>
      <c r="I13" s="9"/>
      <c r="J13" s="78"/>
      <c r="K13" s="9"/>
      <c r="L13" s="78"/>
      <c r="M13" s="9"/>
      <c r="N13" s="78"/>
      <c r="O13" s="45"/>
      <c r="P13" s="45"/>
      <c r="Q13" s="78"/>
      <c r="R13" s="129"/>
      <c r="S13" s="45"/>
      <c r="T13" s="45"/>
      <c r="U13" s="78"/>
      <c r="V13" s="129"/>
      <c r="W13" s="129"/>
      <c r="X13" s="282"/>
      <c r="AB13" s="619"/>
      <c r="AC13" s="322" t="s">
        <v>69</v>
      </c>
      <c r="AD13" s="323" t="s">
        <v>70</v>
      </c>
      <c r="AE13" s="324" t="str">
        <f>($O$14+$O$15+$O$16+$O$17+$O$18+$O$23+$O$26+$O$24)*15%</f>
        <v>0</v>
      </c>
      <c r="AF13" s="324" t="str">
        <f>($P$14+$P$15+$P$16+$P$17+$P$18+$P$23+$P$26+$P$24)*15%</f>
        <v>0</v>
      </c>
      <c r="AG13" s="322" t="s">
        <v>71</v>
      </c>
      <c r="AH13" s="323" t="s">
        <v>72</v>
      </c>
      <c r="AI13" s="365" t="str">
        <f>$S$15</f>
        <v>0</v>
      </c>
      <c r="AJ13" s="365" t="str">
        <f>$T$15</f>
        <v>0</v>
      </c>
    </row>
    <row r="14" spans="1:42">
      <c r="A14" s="611"/>
      <c r="B14" s="70" t="s">
        <v>177</v>
      </c>
      <c r="C14" s="8">
        <v>2</v>
      </c>
      <c r="D14" s="43">
        <v>0.0045</v>
      </c>
      <c r="E14" s="2" t="str">
        <f>E$7*D14</f>
        <v>0</v>
      </c>
      <c r="F14" s="130" t="str">
        <f>E14/$E$22</f>
        <v>0</v>
      </c>
      <c r="G14" s="13">
        <v>0.0045</v>
      </c>
      <c r="H14" s="79" t="str">
        <f>G14/$G$38</f>
        <v>0</v>
      </c>
      <c r="I14" s="9"/>
      <c r="J14" s="9"/>
      <c r="K14" s="13">
        <v>0.004</v>
      </c>
      <c r="L14" s="117" t="str">
        <f>K14/$K$38</f>
        <v>0</v>
      </c>
      <c r="M14" s="14">
        <v>0.01</v>
      </c>
      <c r="N14" s="85" t="str">
        <f>M14/$M$38</f>
        <v>0</v>
      </c>
      <c r="O14" s="46" t="str">
        <f>G14*$E$7</f>
        <v>0</v>
      </c>
      <c r="P14" s="46" t="str">
        <f>K14*$E$7+O14</f>
        <v>0</v>
      </c>
      <c r="Q14" s="79" t="str">
        <f>P14/$P$38</f>
        <v>0</v>
      </c>
      <c r="R14" s="130" t="str">
        <f>($R$22/$Q$22)*Q14</f>
        <v>0</v>
      </c>
      <c r="S14" s="45"/>
      <c r="T14" s="47" t="str">
        <f>M14*$E$7+S14</f>
        <v>0</v>
      </c>
      <c r="U14" s="85" t="str">
        <f>T14/$T$38</f>
        <v>0</v>
      </c>
      <c r="V14" s="130" t="str">
        <f>($V$22/$U$22)*U14</f>
        <v>0</v>
      </c>
      <c r="W14" s="130" t="str">
        <f>(P14+T14)/($P$22+$T$22)</f>
        <v>0</v>
      </c>
      <c r="X14" s="282"/>
      <c r="AB14" s="619"/>
      <c r="AC14" s="322" t="s">
        <v>73</v>
      </c>
      <c r="AD14" s="323" t="s">
        <v>74</v>
      </c>
      <c r="AE14" s="324" t="str">
        <f>($O$14+$O$15+$O$16+$O$17+$O$18+$O$23+$O$26+$O$24)*25%+$O$19*40%</f>
        <v>0</v>
      </c>
      <c r="AF14" s="324" t="str">
        <f>($P$14+$P$15+$P$16+$P$17+$P$18+$P$23+$P$26+$P$24)*25%+$P$19*40%</f>
        <v>0</v>
      </c>
      <c r="AG14" s="322" t="s">
        <v>75</v>
      </c>
      <c r="AH14" s="323" t="s">
        <v>76</v>
      </c>
      <c r="AI14" s="365" t="str">
        <f>$S$18</f>
        <v>0</v>
      </c>
      <c r="AJ14" s="365" t="str">
        <f>$T$18</f>
        <v>0</v>
      </c>
    </row>
    <row r="15" spans="1:42" customHeight="1" ht="24">
      <c r="A15" s="611"/>
      <c r="B15" s="70" t="s">
        <v>243</v>
      </c>
      <c r="C15" s="8">
        <v>3</v>
      </c>
      <c r="D15" s="43">
        <v>0.0045</v>
      </c>
      <c r="E15" s="2" t="str">
        <f>E$7*D15</f>
        <v>0</v>
      </c>
      <c r="F15" s="130" t="str">
        <f>E15/$E$22</f>
        <v>0</v>
      </c>
      <c r="G15" s="13">
        <v>0.0045</v>
      </c>
      <c r="H15" s="79" t="str">
        <f>G15/$G$38</f>
        <v>0</v>
      </c>
      <c r="I15" s="14">
        <v>0</v>
      </c>
      <c r="J15" s="85" t="str">
        <f>I15/$I$38</f>
        <v>0</v>
      </c>
      <c r="K15" s="13">
        <v>0</v>
      </c>
      <c r="L15" s="117" t="str">
        <f>K15/$K$38</f>
        <v>0</v>
      </c>
      <c r="M15" s="14">
        <v>0</v>
      </c>
      <c r="N15" s="85" t="str">
        <f>M15/$M$38</f>
        <v>0</v>
      </c>
      <c r="O15" s="46" t="str">
        <f>G15*$E$7</f>
        <v>0</v>
      </c>
      <c r="P15" s="46" t="str">
        <f>K15*$E$7+O15</f>
        <v>0</v>
      </c>
      <c r="Q15" s="79" t="str">
        <f>P15/$P$38</f>
        <v>0</v>
      </c>
      <c r="R15" s="130" t="str">
        <f>($R$22/$Q$22)*Q15</f>
        <v>0</v>
      </c>
      <c r="S15" s="47" t="str">
        <f>I15*$E$7</f>
        <v>0</v>
      </c>
      <c r="T15" s="47" t="str">
        <f>M15*$E$7+S15</f>
        <v>0</v>
      </c>
      <c r="U15" s="85" t="str">
        <f>T15/$T$38</f>
        <v>0</v>
      </c>
      <c r="V15" s="130" t="str">
        <f>($V$22/$U$22)*U15</f>
        <v>0</v>
      </c>
      <c r="W15" s="130" t="str">
        <f>(P15+T15)/($P$22+$T$22)</f>
        <v>0</v>
      </c>
      <c r="X15" s="315"/>
      <c r="AB15" s="619"/>
      <c r="AC15" s="322"/>
      <c r="AD15" s="323"/>
      <c r="AE15" s="324"/>
      <c r="AF15" s="324"/>
      <c r="AG15" s="322" t="s">
        <v>77</v>
      </c>
      <c r="AH15" s="323" t="s">
        <v>78</v>
      </c>
      <c r="AI15" s="365" t="str">
        <f>$S$26+$S$24</f>
        <v>0</v>
      </c>
      <c r="AJ15" s="365" t="str">
        <f>$T$26+$T$24</f>
        <v>0</v>
      </c>
    </row>
    <row r="16" spans="1:42" customHeight="1" ht="24.75">
      <c r="A16" s="611"/>
      <c r="B16" s="70" t="s">
        <v>179</v>
      </c>
      <c r="C16" s="8">
        <v>4</v>
      </c>
      <c r="D16" s="43">
        <v>0.0018</v>
      </c>
      <c r="E16" s="2" t="str">
        <f>E$7*D16</f>
        <v>0</v>
      </c>
      <c r="F16" s="130" t="str">
        <f>E16/$E$22</f>
        <v>0</v>
      </c>
      <c r="G16" s="13">
        <v>0.0018</v>
      </c>
      <c r="H16" s="79" t="str">
        <f>G16/$G$38</f>
        <v>0</v>
      </c>
      <c r="I16" s="48"/>
      <c r="J16" s="9"/>
      <c r="K16" s="13">
        <v>0.0015</v>
      </c>
      <c r="L16" s="117" t="str">
        <f>K16/$K$38</f>
        <v>0</v>
      </c>
      <c r="M16" s="48"/>
      <c r="N16" s="9"/>
      <c r="O16" s="46" t="str">
        <f>G16*$E$7</f>
        <v>0</v>
      </c>
      <c r="P16" s="46" t="str">
        <f>K16*$E$7+O16</f>
        <v>0</v>
      </c>
      <c r="Q16" s="79" t="str">
        <f>P16/$P$38</f>
        <v>0</v>
      </c>
      <c r="R16" s="130" t="str">
        <f>($R$22/$Q$22)*Q16</f>
        <v>0</v>
      </c>
      <c r="S16" s="45"/>
      <c r="T16" s="45"/>
      <c r="U16" s="45"/>
      <c r="V16" s="144"/>
      <c r="W16" s="130" t="str">
        <f>(P16+T16)/($P$22+$T$22)</f>
        <v>0</v>
      </c>
      <c r="X16" s="282"/>
      <c r="AB16" s="620"/>
      <c r="AC16" s="325"/>
      <c r="AD16" s="326"/>
      <c r="AE16" s="362"/>
      <c r="AF16" s="362"/>
      <c r="AG16" s="325" t="s">
        <v>79</v>
      </c>
      <c r="AH16" s="326" t="s">
        <v>80</v>
      </c>
      <c r="AI16" s="366" t="str">
        <f>$S$19</f>
        <v>0</v>
      </c>
      <c r="AJ16" s="366" t="str">
        <f>$T$19</f>
        <v>0</v>
      </c>
    </row>
    <row r="17" spans="1:42">
      <c r="A17" s="611"/>
      <c r="B17" s="70" t="s">
        <v>180</v>
      </c>
      <c r="C17" s="8">
        <v>4</v>
      </c>
      <c r="D17" s="43">
        <v>0.0067</v>
      </c>
      <c r="E17" s="2" t="str">
        <f>E$7*D17</f>
        <v>0</v>
      </c>
      <c r="F17" s="130" t="str">
        <f>E17/$E$22</f>
        <v>0</v>
      </c>
      <c r="G17" s="13">
        <v>0.0067</v>
      </c>
      <c r="H17" s="79" t="str">
        <f>G17/$G$38</f>
        <v>0</v>
      </c>
      <c r="I17" s="48"/>
      <c r="J17" s="9"/>
      <c r="K17" s="13">
        <v>0</v>
      </c>
      <c r="L17" s="117" t="str">
        <f>K17/$K$38</f>
        <v>0</v>
      </c>
      <c r="M17" s="48"/>
      <c r="N17" s="9"/>
      <c r="O17" s="46" t="str">
        <f>G17*$E$7</f>
        <v>0</v>
      </c>
      <c r="P17" s="46" t="str">
        <f>K17*$E$7+O17</f>
        <v>0</v>
      </c>
      <c r="Q17" s="79" t="str">
        <f>P17/$P$38</f>
        <v>0</v>
      </c>
      <c r="R17" s="130" t="str">
        <f>($R$22/$Q$22)*Q17</f>
        <v>0</v>
      </c>
      <c r="S17" s="45"/>
      <c r="T17" s="45"/>
      <c r="U17" s="45"/>
      <c r="V17" s="144"/>
      <c r="W17" s="130" t="str">
        <f>(P17+T17)/($P$22+$T$22)</f>
        <v>0</v>
      </c>
      <c r="X17" s="316"/>
      <c r="AB17" s="657" t="s">
        <v>181</v>
      </c>
      <c r="AC17" s="327" t="s">
        <v>81</v>
      </c>
      <c r="AD17" s="328" t="s">
        <v>82</v>
      </c>
      <c r="AE17" s="378" t="str">
        <f>$O$25</f>
        <v>0</v>
      </c>
      <c r="AF17" s="378" t="str">
        <f>$P$25</f>
        <v>0</v>
      </c>
      <c r="AG17" s="327"/>
      <c r="AH17" s="328"/>
      <c r="AI17" s="378"/>
      <c r="AJ17" s="329"/>
    </row>
    <row r="18" spans="1:42" customHeight="1" ht="15">
      <c r="A18" s="611"/>
      <c r="B18" s="70" t="s">
        <v>182</v>
      </c>
      <c r="C18" s="8">
        <v>5</v>
      </c>
      <c r="D18" s="43">
        <v>0.023</v>
      </c>
      <c r="E18" s="2" t="str">
        <f>E$7*D18</f>
        <v>0</v>
      </c>
      <c r="F18" s="130" t="str">
        <f>E18/$E$22</f>
        <v>0</v>
      </c>
      <c r="G18" s="13">
        <v>0.0185</v>
      </c>
      <c r="H18" s="79" t="str">
        <f>G18/$G$38</f>
        <v>0</v>
      </c>
      <c r="I18" s="99">
        <v>0</v>
      </c>
      <c r="J18" s="85" t="str">
        <f>I18/$I$38</f>
        <v>0</v>
      </c>
      <c r="K18" s="13">
        <v>0</v>
      </c>
      <c r="L18" s="117" t="str">
        <f>K18/$K$38</f>
        <v>0</v>
      </c>
      <c r="M18" s="99">
        <v>0</v>
      </c>
      <c r="N18" s="85" t="str">
        <f>M18/$M$38</f>
        <v>0</v>
      </c>
      <c r="O18" s="46" t="str">
        <f>G18*$E$7</f>
        <v>0</v>
      </c>
      <c r="P18" s="46" t="str">
        <f>K18*$E$7+O18</f>
        <v>0</v>
      </c>
      <c r="Q18" s="79" t="str">
        <f>P18/$P$38</f>
        <v>0</v>
      </c>
      <c r="R18" s="130" t="str">
        <f>($R$22/$Q$22)*Q18</f>
        <v>0</v>
      </c>
      <c r="S18" s="47" t="str">
        <f>I18*$E$7</f>
        <v>0</v>
      </c>
      <c r="T18" s="47" t="str">
        <f>M18*$E$7+S18</f>
        <v>0</v>
      </c>
      <c r="U18" s="85" t="str">
        <f>T18/$T$38</f>
        <v>0</v>
      </c>
      <c r="V18" s="130" t="str">
        <f>($V$22/$U$22)*U18</f>
        <v>0</v>
      </c>
      <c r="W18" s="130" t="str">
        <f>(P18+T18)/($P$22+$T$22)</f>
        <v>0</v>
      </c>
      <c r="X18" s="315"/>
      <c r="AB18" s="658"/>
      <c r="AC18" s="330" t="s">
        <v>85</v>
      </c>
      <c r="AD18" s="331" t="s">
        <v>86</v>
      </c>
      <c r="AE18" s="379" t="str">
        <f>$O$22*30%</f>
        <v>0</v>
      </c>
      <c r="AF18" s="379" t="str">
        <f>$P$22*30%</f>
        <v>0</v>
      </c>
      <c r="AG18" s="330" t="s">
        <v>83</v>
      </c>
      <c r="AH18" s="331" t="s">
        <v>84</v>
      </c>
      <c r="AI18" s="379" t="str">
        <f>$S$25</f>
        <v>0</v>
      </c>
      <c r="AJ18" s="367" t="str">
        <f>$T$25</f>
        <v>0</v>
      </c>
    </row>
    <row r="19" spans="1:42" customHeight="1" ht="15.75">
      <c r="A19" s="612"/>
      <c r="B19" s="40" t="s">
        <v>183</v>
      </c>
      <c r="C19" s="17">
        <v>6</v>
      </c>
      <c r="D19" s="56">
        <v>0.027</v>
      </c>
      <c r="E19" s="142" t="str">
        <f>E$7*D19</f>
        <v>0</v>
      </c>
      <c r="F19" s="131" t="str">
        <f>E19/$E$22</f>
        <v>0</v>
      </c>
      <c r="G19" s="18" t="str">
        <f>0.45%+1.8%</f>
        <v>0</v>
      </c>
      <c r="H19" s="82" t="str">
        <f>G19/$G$38</f>
        <v>0</v>
      </c>
      <c r="I19" s="26">
        <v>0</v>
      </c>
      <c r="J19" s="87" t="str">
        <f>I19/$I$38</f>
        <v>0</v>
      </c>
      <c r="K19" s="18">
        <v>0</v>
      </c>
      <c r="L19" s="117" t="str">
        <f>K19/$K$38</f>
        <v>0</v>
      </c>
      <c r="M19" s="26">
        <v>0</v>
      </c>
      <c r="N19" s="87" t="str">
        <f>M19/$M$38</f>
        <v>0</v>
      </c>
      <c r="O19" s="57" t="str">
        <f>G19*$E$7</f>
        <v>0</v>
      </c>
      <c r="P19" s="57" t="str">
        <f>K19*$E$7+O19</f>
        <v>0</v>
      </c>
      <c r="Q19" s="82" t="str">
        <f>P19/$P$38</f>
        <v>0</v>
      </c>
      <c r="R19" s="131" t="str">
        <f>($R$22/$Q$22)*Q19</f>
        <v>0</v>
      </c>
      <c r="S19" s="58" t="str">
        <f>I19*$E$7</f>
        <v>0</v>
      </c>
      <c r="T19" s="58" t="str">
        <f>M19*$E$7+S19</f>
        <v>0</v>
      </c>
      <c r="U19" s="87" t="str">
        <f>T19/$T$38</f>
        <v>0</v>
      </c>
      <c r="V19" s="145" t="str">
        <f>($V$22/$U$22)*U19</f>
        <v>0</v>
      </c>
      <c r="W19" s="131" t="str">
        <f>(P19+T19)/($P$22+$T$22)</f>
        <v>0</v>
      </c>
      <c r="X19" s="283"/>
      <c r="AB19" s="658"/>
      <c r="AC19" s="330" t="s">
        <v>89</v>
      </c>
      <c r="AD19" s="331" t="s">
        <v>90</v>
      </c>
      <c r="AE19" s="379" t="str">
        <f>$O$20+$O$21</f>
        <v>0</v>
      </c>
      <c r="AF19" s="379" t="str">
        <f>$P$20+$P$21</f>
        <v>0</v>
      </c>
      <c r="AG19" s="330" t="s">
        <v>87</v>
      </c>
      <c r="AH19" s="331" t="s">
        <v>88</v>
      </c>
      <c r="AI19" s="379" t="str">
        <f>$S$22</f>
        <v>0</v>
      </c>
      <c r="AJ19" s="367" t="str">
        <f>$T$22</f>
        <v>0</v>
      </c>
    </row>
    <row r="20" spans="1:42" customHeight="1" ht="24.75">
      <c r="A20" s="617" t="s">
        <v>184</v>
      </c>
      <c r="B20" s="39" t="s">
        <v>185</v>
      </c>
      <c r="C20" s="15">
        <v>7</v>
      </c>
      <c r="D20" s="42">
        <v>0</v>
      </c>
      <c r="E20" s="16" t="str">
        <f>E$7*D20</f>
        <v>0</v>
      </c>
      <c r="F20" s="135" t="str">
        <f>E20/$E$22</f>
        <v>0</v>
      </c>
      <c r="G20" s="286" t="str">
        <f>0.9%-0.55%</f>
        <v>0</v>
      </c>
      <c r="H20" s="81" t="str">
        <f>G20/$G$38</f>
        <v>0</v>
      </c>
      <c r="I20" s="94"/>
      <c r="J20" s="9"/>
      <c r="K20" s="286" t="str">
        <f>0%+0.05%</f>
        <v>0</v>
      </c>
      <c r="L20" s="383" t="str">
        <f>K20/$K$38</f>
        <v>0</v>
      </c>
      <c r="M20" s="94"/>
      <c r="N20" s="94"/>
      <c r="O20" s="46" t="str">
        <f>G20*$E$7</f>
        <v>0</v>
      </c>
      <c r="P20" s="100" t="str">
        <f>K20*$E$7+O20</f>
        <v>0</v>
      </c>
      <c r="Q20" s="81" t="str">
        <f>P20/$P$38</f>
        <v>0</v>
      </c>
      <c r="R20" s="135" t="str">
        <f>($R$22/$Q$22)*Q20</f>
        <v>0</v>
      </c>
      <c r="S20" s="55"/>
      <c r="T20" s="102"/>
      <c r="U20" s="95"/>
      <c r="V20" s="135"/>
      <c r="W20" s="135" t="str">
        <f>(P20+T20)/($P$22+$T$22)</f>
        <v>0</v>
      </c>
      <c r="X20" s="284"/>
      <c r="AB20" s="659"/>
      <c r="AC20" s="332" t="s">
        <v>91</v>
      </c>
      <c r="AD20" s="333" t="s">
        <v>92</v>
      </c>
      <c r="AE20" s="380" t="str">
        <f>$O$22*70%</f>
        <v>0</v>
      </c>
      <c r="AF20" s="380" t="str">
        <f>$P$22*70%</f>
        <v>0</v>
      </c>
      <c r="AG20" s="332"/>
      <c r="AH20" s="333"/>
      <c r="AI20" s="380"/>
      <c r="AJ20" s="368"/>
    </row>
    <row r="21" spans="1:42" customHeight="1" ht="24.75">
      <c r="A21" s="618"/>
      <c r="B21" s="40" t="s">
        <v>186</v>
      </c>
      <c r="C21" s="17">
        <v>7</v>
      </c>
      <c r="D21" s="56">
        <v>0.0045</v>
      </c>
      <c r="E21" s="142" t="str">
        <f>E$7*D21</f>
        <v>0</v>
      </c>
      <c r="F21" s="131" t="str">
        <f>E21/$E$22</f>
        <v>0</v>
      </c>
      <c r="G21" s="563" t="str">
        <f>0.45%-0.25%</f>
        <v>0</v>
      </c>
      <c r="H21" s="82" t="str">
        <f>G21/$G$38</f>
        <v>0</v>
      </c>
      <c r="I21" s="37"/>
      <c r="J21" s="37"/>
      <c r="K21" s="563" t="str">
        <f>0%+0.05%</f>
        <v>0</v>
      </c>
      <c r="L21" s="118" t="str">
        <f>K21/$K$38</f>
        <v>0</v>
      </c>
      <c r="M21" s="37"/>
      <c r="N21" s="37"/>
      <c r="O21" s="57" t="str">
        <f>G21*$E$7</f>
        <v>0</v>
      </c>
      <c r="P21" s="57" t="str">
        <f>K21*$E$7+O21</f>
        <v>0</v>
      </c>
      <c r="Q21" s="82" t="str">
        <f>P21/$P$38</f>
        <v>0</v>
      </c>
      <c r="R21" s="131" t="str">
        <f>($R$22/$Q$22)*Q21</f>
        <v>0</v>
      </c>
      <c r="S21" s="138"/>
      <c r="T21" s="37"/>
      <c r="U21" s="37"/>
      <c r="V21" s="146"/>
      <c r="W21" s="131" t="str">
        <f>(P21+T21)/($P$22+$T$22)</f>
        <v>0</v>
      </c>
      <c r="X21" s="285"/>
      <c r="AB21" s="615" t="s">
        <v>187</v>
      </c>
      <c r="AC21" s="345" t="s">
        <v>93</v>
      </c>
      <c r="AD21" s="346" t="s">
        <v>94</v>
      </c>
      <c r="AE21" s="348" t="str">
        <f>$O$27*25%+AL25</f>
        <v>0</v>
      </c>
      <c r="AF21" s="348" t="str">
        <f>$P$27*25%+AM25</f>
        <v>0</v>
      </c>
      <c r="AG21" s="345" t="s">
        <v>95</v>
      </c>
      <c r="AH21" s="346" t="s">
        <v>96</v>
      </c>
      <c r="AI21" s="347" t="str">
        <f>$S$27*70%+AN25</f>
        <v>0</v>
      </c>
      <c r="AJ21" s="347" t="str">
        <f>$T$27*70%+AO25</f>
        <v>0</v>
      </c>
    </row>
    <row r="22" spans="1:42" customHeight="1" ht="15.75">
      <c r="A22" s="24" t="s">
        <v>188</v>
      </c>
      <c r="B22" s="41" t="s">
        <v>189</v>
      </c>
      <c r="C22" s="19">
        <v>8</v>
      </c>
      <c r="D22" s="44" t="str">
        <f>32.4%-0.32%</f>
        <v>0</v>
      </c>
      <c r="E22" s="22" t="str">
        <f>E$7*D22</f>
        <v>0</v>
      </c>
      <c r="F22" s="132" t="str">
        <f>E22/$E$22</f>
        <v>0</v>
      </c>
      <c r="G22" s="440" t="str">
        <f>4%+0.8%</f>
        <v>0</v>
      </c>
      <c r="H22" s="83" t="str">
        <f>G22/$G$38</f>
        <v>0</v>
      </c>
      <c r="I22" s="23">
        <v>0.2592</v>
      </c>
      <c r="J22" s="85" t="str">
        <f>I22/$I$38</f>
        <v>0</v>
      </c>
      <c r="K22" s="563" t="str">
        <f>0.8%-0.1%</f>
        <v>0</v>
      </c>
      <c r="L22" s="119" t="str">
        <f>K22/$K$38</f>
        <v>0</v>
      </c>
      <c r="M22" s="23">
        <v>0.05</v>
      </c>
      <c r="N22" s="85" t="str">
        <f>M22/$M$38</f>
        <v>0</v>
      </c>
      <c r="O22" s="61" t="str">
        <f>G22*$E$7</f>
        <v>0</v>
      </c>
      <c r="P22" s="61" t="str">
        <f>K22*$E$7+O22</f>
        <v>0</v>
      </c>
      <c r="Q22" s="83" t="str">
        <f>P22/$P$38</f>
        <v>0</v>
      </c>
      <c r="R22" s="132">
        <v>1</v>
      </c>
      <c r="S22" s="62" t="str">
        <f>I22*$E$7</f>
        <v>0</v>
      </c>
      <c r="T22" s="62" t="str">
        <f>M22*$E$7+S22</f>
        <v>0</v>
      </c>
      <c r="U22" s="85" t="str">
        <f>T22/$T$38</f>
        <v>0</v>
      </c>
      <c r="V22" s="147">
        <v>1</v>
      </c>
      <c r="W22" s="132" t="str">
        <f>(P22+T22)/($P$22+$T$22)</f>
        <v>0</v>
      </c>
      <c r="X22" s="287"/>
      <c r="AB22" s="615"/>
      <c r="AC22" s="345" t="s">
        <v>98</v>
      </c>
      <c r="AD22" s="346" t="s">
        <v>99</v>
      </c>
      <c r="AE22" s="348" t="str">
        <f>$O$27*20%+AL27</f>
        <v>0</v>
      </c>
      <c r="AF22" s="348" t="str">
        <f>$P$27*20%+AM27</f>
        <v>0</v>
      </c>
      <c r="AG22" s="345"/>
      <c r="AH22" s="346"/>
      <c r="AI22" s="347"/>
      <c r="AJ22" s="347"/>
    </row>
    <row r="23" spans="1:42">
      <c r="A23" s="655" t="s">
        <v>190</v>
      </c>
      <c r="B23" s="39" t="s">
        <v>191</v>
      </c>
      <c r="C23" s="15">
        <v>9</v>
      </c>
      <c r="D23" s="42">
        <v>0.0035</v>
      </c>
      <c r="E23" s="16" t="str">
        <f>E$7*D23</f>
        <v>0</v>
      </c>
      <c r="F23" s="382" t="str">
        <f>E23/$E$22</f>
        <v>0</v>
      </c>
      <c r="G23" s="21" t="str">
        <f>1.35%-1%</f>
        <v>0</v>
      </c>
      <c r="H23" s="317" t="str">
        <f>G23/$G$38</f>
        <v>0</v>
      </c>
      <c r="I23" s="63"/>
      <c r="J23" s="63"/>
      <c r="K23" s="21">
        <v>0</v>
      </c>
      <c r="L23" s="383" t="str">
        <f>K23/$K$38</f>
        <v>0</v>
      </c>
      <c r="M23" s="63"/>
      <c r="N23" s="63"/>
      <c r="O23" s="59" t="str">
        <f>G23*$E$7</f>
        <v>0</v>
      </c>
      <c r="P23" s="59" t="str">
        <f>K23*$E$7+O23</f>
        <v>0</v>
      </c>
      <c r="Q23" s="317" t="str">
        <f>P23/$P$38</f>
        <v>0</v>
      </c>
      <c r="R23" s="382" t="str">
        <f>($R$22/$Q$22)*Q23</f>
        <v>0</v>
      </c>
      <c r="S23" s="55"/>
      <c r="T23" s="55"/>
      <c r="U23" s="55"/>
      <c r="V23" s="148"/>
      <c r="W23" s="382" t="str">
        <f>(P23+T23)/($P$22+$T$22)</f>
        <v>0</v>
      </c>
      <c r="X23" s="318"/>
      <c r="AB23" s="615"/>
      <c r="AC23" s="345" t="s">
        <v>102</v>
      </c>
      <c r="AD23" s="346" t="s">
        <v>103</v>
      </c>
      <c r="AE23" s="348" t="str">
        <f>$O$27*55%+AL26</f>
        <v>0</v>
      </c>
      <c r="AF23" s="348" t="str">
        <f>$P$27*55%+AM26</f>
        <v>0</v>
      </c>
      <c r="AG23" s="345" t="s">
        <v>100</v>
      </c>
      <c r="AH23" s="346" t="s">
        <v>101</v>
      </c>
      <c r="AI23" s="347" t="str">
        <f>$S$27*30%+AN27</f>
        <v>0</v>
      </c>
      <c r="AJ23" s="347" t="str">
        <f>$T$27*30%+AO27</f>
        <v>0</v>
      </c>
      <c r="AL23" s="640" t="s">
        <v>192</v>
      </c>
      <c r="AM23" s="641"/>
      <c r="AN23" s="642" t="s">
        <v>193</v>
      </c>
      <c r="AO23" s="643"/>
    </row>
    <row r="24" spans="1:42" customHeight="1" ht="30.75">
      <c r="A24" s="656"/>
      <c r="B24" s="40" t="s">
        <v>194</v>
      </c>
      <c r="C24" s="17">
        <v>10</v>
      </c>
      <c r="D24" s="56">
        <v>0.01</v>
      </c>
      <c r="E24" s="142" t="str">
        <f>E$7*D24</f>
        <v>0</v>
      </c>
      <c r="F24" s="145" t="str">
        <f>E24/$E$22</f>
        <v>0</v>
      </c>
      <c r="G24" s="18">
        <v>0.01</v>
      </c>
      <c r="H24" s="82" t="str">
        <f>G24/$G$38</f>
        <v>0</v>
      </c>
      <c r="I24" s="26">
        <v>0</v>
      </c>
      <c r="J24" s="87" t="str">
        <f>I24/$I$38</f>
        <v>0</v>
      </c>
      <c r="K24" s="18">
        <v>0</v>
      </c>
      <c r="L24" s="118" t="str">
        <f>K24/$K$38</f>
        <v>0</v>
      </c>
      <c r="M24" s="26">
        <v>0</v>
      </c>
      <c r="N24" s="87" t="str">
        <f>M24/$M$38</f>
        <v>0</v>
      </c>
      <c r="O24" s="319" t="str">
        <f>G24*$E$7</f>
        <v>0</v>
      </c>
      <c r="P24" s="57" t="str">
        <f>K24*$E$7+O24</f>
        <v>0</v>
      </c>
      <c r="Q24" s="82" t="str">
        <f>P24/$P$38</f>
        <v>0</v>
      </c>
      <c r="R24" s="131" t="str">
        <f>($R$22/$Q$22)*Q24</f>
        <v>0</v>
      </c>
      <c r="S24" s="58" t="str">
        <f>I24*$E$7</f>
        <v>0</v>
      </c>
      <c r="T24" s="96" t="str">
        <f>M24*$E$7+S24</f>
        <v>0</v>
      </c>
      <c r="U24" s="87" t="str">
        <f>T24/$T$38</f>
        <v>0</v>
      </c>
      <c r="V24" s="145" t="str">
        <f>($V$22/$U$22)*U24</f>
        <v>0</v>
      </c>
      <c r="W24" s="131" t="str">
        <f>(P24+T24)/($P$22+$T$22)</f>
        <v>0</v>
      </c>
      <c r="X24" s="288"/>
      <c r="AB24" s="616"/>
      <c r="AC24" s="334"/>
      <c r="AD24" s="335"/>
      <c r="AE24" s="349"/>
      <c r="AF24" s="349"/>
      <c r="AG24" s="334"/>
      <c r="AH24" s="335"/>
      <c r="AI24" s="352"/>
      <c r="AJ24" s="352"/>
      <c r="AL24" s="418" t="s">
        <v>169</v>
      </c>
      <c r="AM24" s="418" t="s">
        <v>170</v>
      </c>
      <c r="AN24" s="419" t="s">
        <v>169</v>
      </c>
      <c r="AO24" s="419" t="s">
        <v>170</v>
      </c>
    </row>
    <row r="25" spans="1:42" customHeight="1" ht="24.75">
      <c r="A25" s="24" t="s">
        <v>195</v>
      </c>
      <c r="B25" s="41" t="s">
        <v>196</v>
      </c>
      <c r="C25" s="19" t="s">
        <v>197</v>
      </c>
      <c r="D25" s="44">
        <v>0.005</v>
      </c>
      <c r="E25" s="22" t="str">
        <f>E$7*D25</f>
        <v>0</v>
      </c>
      <c r="F25" s="132" t="str">
        <f>E25/$E$22</f>
        <v>0</v>
      </c>
      <c r="G25" s="20">
        <v>0.005</v>
      </c>
      <c r="H25" s="83" t="str">
        <f>G25/$G$38</f>
        <v>0</v>
      </c>
      <c r="I25" s="23">
        <v>0</v>
      </c>
      <c r="J25" s="88" t="str">
        <f>I25/$I$38</f>
        <v>0</v>
      </c>
      <c r="K25" s="18">
        <v>0</v>
      </c>
      <c r="L25" s="118" t="str">
        <f>K25/$K$38</f>
        <v>0</v>
      </c>
      <c r="M25" s="23">
        <v>0</v>
      </c>
      <c r="N25" s="88" t="str">
        <f>M25/$M$38</f>
        <v>0</v>
      </c>
      <c r="O25" s="319" t="str">
        <f>G25*$E$7</f>
        <v>0</v>
      </c>
      <c r="P25" s="61" t="str">
        <f>K25*$E$7+O25</f>
        <v>0</v>
      </c>
      <c r="Q25" s="83" t="str">
        <f>P25/$P$38</f>
        <v>0</v>
      </c>
      <c r="R25" s="132" t="str">
        <f>($R$22/$Q$22)*Q25</f>
        <v>0</v>
      </c>
      <c r="S25" s="62" t="str">
        <f>I25*$E$7</f>
        <v>0</v>
      </c>
      <c r="T25" s="96" t="str">
        <f>M25*$E$7+S25</f>
        <v>0</v>
      </c>
      <c r="U25" s="88" t="str">
        <f>T25/$T$38</f>
        <v>0</v>
      </c>
      <c r="V25" s="132" t="str">
        <f>($V$22/$U$22)*U25</f>
        <v>0</v>
      </c>
      <c r="W25" s="132" t="str">
        <f>(P25+T25)/($P$22+$T$22)</f>
        <v>0</v>
      </c>
      <c r="X25" s="287"/>
      <c r="AB25" s="624" t="s">
        <v>198</v>
      </c>
      <c r="AC25" s="336" t="s">
        <v>106</v>
      </c>
      <c r="AD25" s="337" t="s">
        <v>107</v>
      </c>
      <c r="AE25" s="350" t="str">
        <f>$O$29*30%+AL29</f>
        <v>0</v>
      </c>
      <c r="AF25" s="350" t="str">
        <f>$P$29*30%+AM29</f>
        <v>0</v>
      </c>
      <c r="AG25" s="336" t="s">
        <v>108</v>
      </c>
      <c r="AH25" s="337" t="s">
        <v>109</v>
      </c>
      <c r="AI25" s="338" t="str">
        <f>$S$29*50%</f>
        <v>0</v>
      </c>
      <c r="AJ25" s="338" t="str">
        <f>$T$29*50%</f>
        <v>0</v>
      </c>
      <c r="AL25" s="408" t="str">
        <f>$AI$4*$AL$4*25%</f>
        <v>0</v>
      </c>
      <c r="AM25" s="409" t="str">
        <f>AL25+AN25*20%</f>
        <v>0</v>
      </c>
      <c r="AN25" s="410" t="str">
        <f>$AI$4*$AN$4*70%</f>
        <v>0</v>
      </c>
      <c r="AO25" s="411" t="str">
        <f>AN25/75%</f>
        <v>0</v>
      </c>
    </row>
    <row r="26" spans="1:42" customHeight="1" ht="24.75">
      <c r="A26" s="25" t="s">
        <v>199</v>
      </c>
      <c r="B26" s="41" t="s">
        <v>200</v>
      </c>
      <c r="C26" s="19">
        <v>11</v>
      </c>
      <c r="D26" s="44">
        <v>0.03</v>
      </c>
      <c r="E26" s="22" t="str">
        <f>E$7*D26</f>
        <v>0</v>
      </c>
      <c r="F26" s="132" t="str">
        <f>E26/$E$22</f>
        <v>0</v>
      </c>
      <c r="G26" s="320">
        <v>0.03</v>
      </c>
      <c r="H26" s="83" t="str">
        <f>G26/$G$38</f>
        <v>0</v>
      </c>
      <c r="I26" s="23">
        <v>0</v>
      </c>
      <c r="J26" s="88" t="str">
        <f>I26/$I$38</f>
        <v>0</v>
      </c>
      <c r="K26" s="20">
        <v>0</v>
      </c>
      <c r="L26" s="119" t="str">
        <f>K26/$K$38</f>
        <v>0</v>
      </c>
      <c r="M26" s="26">
        <v>0</v>
      </c>
      <c r="N26" s="88" t="str">
        <f>M26/$M$38</f>
        <v>0</v>
      </c>
      <c r="O26" s="319" t="str">
        <f>G26*$E$7</f>
        <v>0</v>
      </c>
      <c r="P26" s="61" t="str">
        <f>K26*$E$7+O26</f>
        <v>0</v>
      </c>
      <c r="Q26" s="83" t="str">
        <f>P26/$P$38</f>
        <v>0</v>
      </c>
      <c r="R26" s="132" t="str">
        <f>($R$22/$Q$22)*Q26</f>
        <v>0</v>
      </c>
      <c r="S26" s="62" t="str">
        <f>I26*$E$7</f>
        <v>0</v>
      </c>
      <c r="T26" s="96" t="str">
        <f>M26*$E$7+S26</f>
        <v>0</v>
      </c>
      <c r="U26" s="88" t="str">
        <f>T26/$T$38</f>
        <v>0</v>
      </c>
      <c r="V26" s="132" t="str">
        <f>($V$22/$U$22)*U26</f>
        <v>0</v>
      </c>
      <c r="W26" s="132" t="str">
        <f>(P26+T26)/($P$22+$T$22)</f>
        <v>0</v>
      </c>
      <c r="X26" s="287"/>
      <c r="AB26" s="625"/>
      <c r="AC26" s="339" t="s">
        <v>110</v>
      </c>
      <c r="AD26" s="340" t="s">
        <v>111</v>
      </c>
      <c r="AE26" s="351" t="str">
        <f>$O$29*60%+AL30</f>
        <v>0</v>
      </c>
      <c r="AF26" s="351" t="str">
        <f>$P$29*60%+AM30</f>
        <v>0</v>
      </c>
      <c r="AG26" s="339" t="s">
        <v>112</v>
      </c>
      <c r="AH26" s="340" t="s">
        <v>113</v>
      </c>
      <c r="AI26" s="341" t="str">
        <f>$S$29*50%</f>
        <v>0</v>
      </c>
      <c r="AJ26" s="341" t="str">
        <f>$T$29*50%</f>
        <v>0</v>
      </c>
      <c r="AL26" s="408" t="str">
        <f>$AI$4*$AL$4*55%</f>
        <v>0</v>
      </c>
      <c r="AM26" s="409" t="str">
        <f>AL26+AN26*20%</f>
        <v>0</v>
      </c>
      <c r="AN26" s="410"/>
      <c r="AO26" s="411"/>
    </row>
    <row r="27" spans="1:42" customHeight="1" ht="30.75">
      <c r="A27" s="24" t="s">
        <v>201</v>
      </c>
      <c r="B27" s="41" t="s">
        <v>202</v>
      </c>
      <c r="C27" s="19">
        <v>12</v>
      </c>
      <c r="D27" s="44">
        <v>0.09</v>
      </c>
      <c r="E27" s="22" t="str">
        <f>E$7*D27</f>
        <v>0</v>
      </c>
      <c r="F27" s="132" t="str">
        <f>E27/$E$22</f>
        <v>0</v>
      </c>
      <c r="G27" s="20" t="str">
        <f>2.16%</f>
        <v>0</v>
      </c>
      <c r="H27" s="81" t="str">
        <f>G27/$G$38</f>
        <v>0</v>
      </c>
      <c r="I27" s="23">
        <v>0.09</v>
      </c>
      <c r="J27" s="86" t="str">
        <f>I27/$I$38</f>
        <v>0</v>
      </c>
      <c r="K27" s="20" t="str">
        <f>2.7%-0.2%</f>
        <v>0</v>
      </c>
      <c r="L27" s="120" t="str">
        <f>K27/$K$38</f>
        <v>0</v>
      </c>
      <c r="M27" s="23">
        <v>0.04</v>
      </c>
      <c r="N27" s="86" t="str">
        <f>M27/$M$38</f>
        <v>0</v>
      </c>
      <c r="O27" s="61" t="str">
        <f>G27*$E$7</f>
        <v>0</v>
      </c>
      <c r="P27" s="100" t="str">
        <f>K27*$E$7+O27</f>
        <v>0</v>
      </c>
      <c r="Q27" s="81" t="str">
        <f>P27/$P$38</f>
        <v>0</v>
      </c>
      <c r="R27" s="132" t="str">
        <f>($R$22/$Q$22)*Q27</f>
        <v>0</v>
      </c>
      <c r="S27" s="62" t="str">
        <f>I27*$E$7</f>
        <v>0</v>
      </c>
      <c r="T27" s="96" t="str">
        <f>M27*$E$7+S27</f>
        <v>0</v>
      </c>
      <c r="U27" s="86" t="str">
        <f>T27/$T$38</f>
        <v>0</v>
      </c>
      <c r="V27" s="132" t="str">
        <f>($V$22/$U$22)*U27</f>
        <v>0</v>
      </c>
      <c r="W27" s="132" t="str">
        <f>(P27+T27)/($P$22+$T$22)</f>
        <v>0</v>
      </c>
      <c r="X27" s="287"/>
      <c r="AB27" s="625"/>
      <c r="AC27" s="339" t="s">
        <v>114</v>
      </c>
      <c r="AD27" s="340" t="s">
        <v>115</v>
      </c>
      <c r="AE27" s="562" t="str">
        <f>$O$29*10%+AL31</f>
        <v>0</v>
      </c>
      <c r="AF27" s="351" t="str">
        <f>$P$29*10%+AM31</f>
        <v>0</v>
      </c>
      <c r="AG27" s="339" t="s">
        <v>116</v>
      </c>
      <c r="AH27" s="340" t="s">
        <v>117</v>
      </c>
      <c r="AI27" s="341" t="str">
        <f>AN29+AN30</f>
        <v>0</v>
      </c>
      <c r="AJ27" s="341" t="str">
        <f>AO29+AO30</f>
        <v>0</v>
      </c>
      <c r="AL27" s="408" t="str">
        <f>$AI$4*$AL$4*20%</f>
        <v>0</v>
      </c>
      <c r="AM27" s="409" t="str">
        <f>AL27+AN27*20%</f>
        <v>0</v>
      </c>
      <c r="AN27" s="410" t="str">
        <f>$AI$4*$AN$4*30%</f>
        <v>0</v>
      </c>
      <c r="AO27" s="411" t="str">
        <f>AN27/75%</f>
        <v>0</v>
      </c>
    </row>
    <row r="28" spans="1:42" customHeight="1" ht="27">
      <c r="A28" s="24" t="s">
        <v>203</v>
      </c>
      <c r="B28" s="41" t="s">
        <v>204</v>
      </c>
      <c r="C28" s="19">
        <v>13</v>
      </c>
      <c r="D28" s="44"/>
      <c r="E28" s="22" t="s">
        <v>205</v>
      </c>
      <c r="F28" s="136"/>
      <c r="G28" s="139"/>
      <c r="H28" s="126"/>
      <c r="I28" s="38"/>
      <c r="J28" s="126"/>
      <c r="K28" s="38"/>
      <c r="L28" s="126"/>
      <c r="M28" s="38"/>
      <c r="N28" s="126"/>
      <c r="O28" s="139"/>
      <c r="P28" s="64"/>
      <c r="Q28" s="126"/>
      <c r="R28" s="136"/>
      <c r="S28" s="64"/>
      <c r="T28" s="64"/>
      <c r="U28" s="126"/>
      <c r="V28" s="136"/>
      <c r="W28" s="136"/>
      <c r="X28" s="287"/>
      <c r="AB28" s="626"/>
      <c r="AC28" s="342" t="s">
        <v>118</v>
      </c>
      <c r="AD28" s="343" t="s">
        <v>119</v>
      </c>
      <c r="AE28" s="381" t="str">
        <f>$O$30</f>
        <v>0</v>
      </c>
      <c r="AF28" s="381" t="str">
        <f>$P$30</f>
        <v>0</v>
      </c>
      <c r="AG28" s="342" t="s">
        <v>120</v>
      </c>
      <c r="AH28" s="343" t="s">
        <v>121</v>
      </c>
      <c r="AI28" s="381" t="str">
        <f>$S$30</f>
        <v>0</v>
      </c>
      <c r="AJ28" s="344" t="str">
        <f>$T$30</f>
        <v>0</v>
      </c>
      <c r="AL28" s="408"/>
      <c r="AM28" s="408"/>
      <c r="AN28" s="410"/>
      <c r="AO28" s="410"/>
    </row>
    <row r="29" spans="1:42" customHeight="1" ht="15.75">
      <c r="A29" s="24" t="s">
        <v>45</v>
      </c>
      <c r="B29" s="41" t="s">
        <v>206</v>
      </c>
      <c r="C29" s="19">
        <v>14</v>
      </c>
      <c r="D29" s="44">
        <v>0.144</v>
      </c>
      <c r="E29" s="22" t="str">
        <f>E$7*D29</f>
        <v>0</v>
      </c>
      <c r="F29" s="132" t="str">
        <f>E29/$E$22</f>
        <v>0</v>
      </c>
      <c r="G29" s="20" t="str">
        <f>'Int. Budget On-Off 1'!G29+'Int. Budget On-Off 1'!I29-I29</f>
        <v>0</v>
      </c>
      <c r="H29" s="83" t="str">
        <f>G29/$G$38</f>
        <v>0</v>
      </c>
      <c r="I29" s="23" t="str">
        <f>SUM(I12:I28)/SUM('Int. Budget On-Off 1'!I12:I28)*'Int. Budget On-Off 1'!I29</f>
        <v>0</v>
      </c>
      <c r="J29" s="88" t="str">
        <f>I29/$I$38</f>
        <v>0</v>
      </c>
      <c r="K29" s="440" t="str">
        <f>0.8%+2.736%-0.335%</f>
        <v>0</v>
      </c>
      <c r="L29" s="119" t="str">
        <f>K29/$K$38</f>
        <v>0</v>
      </c>
      <c r="M29" s="23">
        <v>0.025</v>
      </c>
      <c r="N29" s="88" t="str">
        <f>M29/$M$38</f>
        <v>0</v>
      </c>
      <c r="O29" s="61" t="str">
        <f>G29*$E$7</f>
        <v>0</v>
      </c>
      <c r="P29" s="61" t="str">
        <f>K29*$E$7+O29</f>
        <v>0</v>
      </c>
      <c r="Q29" s="83" t="str">
        <f>P29/$P$38</f>
        <v>0</v>
      </c>
      <c r="R29" s="132" t="str">
        <f>($R$22/$Q$22)*Q29</f>
        <v>0</v>
      </c>
      <c r="S29" s="62" t="str">
        <f>I29*$E$7</f>
        <v>0</v>
      </c>
      <c r="T29" s="96" t="str">
        <f>M29*$E$7+S29</f>
        <v>0</v>
      </c>
      <c r="U29" s="88" t="str">
        <f>T29/$T$38</f>
        <v>0</v>
      </c>
      <c r="V29" s="132" t="str">
        <f>($V$22/$U$22)*U29</f>
        <v>0</v>
      </c>
      <c r="W29" s="132" t="str">
        <f>(P29+T29)/($P$22+$T$22)</f>
        <v>0</v>
      </c>
      <c r="X29" s="287"/>
      <c r="AB29" s="621" t="s">
        <v>207</v>
      </c>
      <c r="AC29" s="353"/>
      <c r="AD29" s="354" t="s">
        <v>208</v>
      </c>
      <c r="AE29" s="363" t="str">
        <f>$O$31+$O$32+$O$36+AL33</f>
        <v>0</v>
      </c>
      <c r="AF29" s="363" t="str">
        <f>$P$31+$P$32+$P$36+AM33</f>
        <v>0</v>
      </c>
      <c r="AG29" s="353" t="s">
        <v>122</v>
      </c>
      <c r="AH29" s="355" t="s">
        <v>123</v>
      </c>
      <c r="AI29" s="369" t="str">
        <f>$S$35+AN33</f>
        <v>0</v>
      </c>
      <c r="AJ29" s="369" t="str">
        <f>$S$35+$T$37+AO33</f>
        <v>0</v>
      </c>
      <c r="AL29" s="408" t="str">
        <f>$AI$5*$AL$5*30%</f>
        <v>0</v>
      </c>
      <c r="AM29" s="409" t="str">
        <f>AL29+AN29*20%</f>
        <v>0</v>
      </c>
      <c r="AN29" s="410" t="str">
        <f>$AI$5*$AN$5*50%</f>
        <v>0</v>
      </c>
      <c r="AO29" s="411" t="str">
        <f>AN29/75%</f>
        <v>0</v>
      </c>
    </row>
    <row r="30" spans="1:42" customHeight="1" ht="24.75">
      <c r="A30" s="420" t="s">
        <v>36</v>
      </c>
      <c r="B30" s="421" t="s">
        <v>209</v>
      </c>
      <c r="C30" s="422">
        <v>15</v>
      </c>
      <c r="D30" s="423">
        <v>0.027</v>
      </c>
      <c r="E30" s="424" t="str">
        <f>E$7*D30</f>
        <v>0</v>
      </c>
      <c r="F30" s="425" t="str">
        <f>E30/$E$22</f>
        <v>0</v>
      </c>
      <c r="G30" s="426" t="str">
        <f>'Int. Budget On-Off 1'!G30+'Int. Budget On-Off 1'!I30-I30</f>
        <v>0</v>
      </c>
      <c r="H30" s="427" t="str">
        <f>G30/$G$38</f>
        <v>0</v>
      </c>
      <c r="I30" s="428" t="str">
        <f>SUM(I12:I29)/SUM('Int. Budget On-Off 1'!I12:I29)*'Int. Budget On-Off 1'!I30</f>
        <v>0</v>
      </c>
      <c r="J30" s="429" t="str">
        <f>I30/$I$38</f>
        <v>0</v>
      </c>
      <c r="K30" s="426">
        <v>0.001</v>
      </c>
      <c r="L30" s="430" t="str">
        <f>K30/$K$38</f>
        <v>0</v>
      </c>
      <c r="M30" s="428">
        <v>0.01</v>
      </c>
      <c r="N30" s="429" t="str">
        <f>M30/$M$38</f>
        <v>0</v>
      </c>
      <c r="O30" s="431" t="str">
        <f>G30*$E$7</f>
        <v>0</v>
      </c>
      <c r="P30" s="431" t="str">
        <f>K30*$E$7+O30</f>
        <v>0</v>
      </c>
      <c r="Q30" s="427" t="str">
        <f>P30/$P$38</f>
        <v>0</v>
      </c>
      <c r="R30" s="425" t="str">
        <f>($R$22/$Q$22)*Q30</f>
        <v>0</v>
      </c>
      <c r="S30" s="432" t="str">
        <f>I30*$E$7</f>
        <v>0</v>
      </c>
      <c r="T30" s="432" t="str">
        <f>M30*$E$7+S30</f>
        <v>0</v>
      </c>
      <c r="U30" s="429" t="str">
        <f>T30/$T$38</f>
        <v>0</v>
      </c>
      <c r="V30" s="425" t="str">
        <f>($V$22/$U$22)*U30</f>
        <v>0</v>
      </c>
      <c r="W30" s="425" t="str">
        <f>(P30+T30)/($P$22+$T$22)</f>
        <v>0</v>
      </c>
      <c r="X30" s="433"/>
      <c r="AB30" s="622"/>
      <c r="AC30" s="374"/>
      <c r="AD30" s="375" t="s">
        <v>210</v>
      </c>
      <c r="AE30" s="376" t="str">
        <f>$O$33</f>
        <v>0</v>
      </c>
      <c r="AF30" s="376" t="str">
        <f>$P$33</f>
        <v>0</v>
      </c>
      <c r="AG30" s="374"/>
      <c r="AH30" s="375"/>
      <c r="AI30" s="377"/>
      <c r="AJ30" s="377"/>
      <c r="AL30" s="408" t="str">
        <f>$AI$5*$AL$5*60%</f>
        <v>0</v>
      </c>
      <c r="AM30" s="409" t="str">
        <f>AL30+AN30*20%</f>
        <v>0</v>
      </c>
      <c r="AN30" s="410" t="str">
        <f>$AI$5*$AN$5*50%</f>
        <v>0</v>
      </c>
      <c r="AO30" s="411" t="str">
        <f>AN30/75%</f>
        <v>0</v>
      </c>
    </row>
    <row r="31" spans="1:42">
      <c r="A31" s="610" t="s">
        <v>52</v>
      </c>
      <c r="B31" s="39" t="s">
        <v>54</v>
      </c>
      <c r="C31" s="15">
        <v>16</v>
      </c>
      <c r="D31" s="42">
        <v>0.0398</v>
      </c>
      <c r="E31" s="16" t="str">
        <f>E$7*D31</f>
        <v>0</v>
      </c>
      <c r="F31" s="382" t="str">
        <f>E31/$E$22</f>
        <v>0</v>
      </c>
      <c r="G31" s="286" t="str">
        <f>2.50175%-0.21%</f>
        <v>0</v>
      </c>
      <c r="H31" s="317" t="str">
        <f>G31/$G$38</f>
        <v>0</v>
      </c>
      <c r="I31" s="564" t="str">
        <f>0.701194852941176%+0.6%+0.21%</f>
        <v>0</v>
      </c>
      <c r="J31" s="435" t="str">
        <f>I31/$I$38</f>
        <v>0</v>
      </c>
      <c r="K31" s="286" t="str">
        <f>2%-1.5%</f>
        <v>0</v>
      </c>
      <c r="L31" s="383" t="str">
        <f>K31/$K$38</f>
        <v>0</v>
      </c>
      <c r="M31" s="101"/>
      <c r="N31" s="435" t="str">
        <f>M31/$M$38</f>
        <v>0</v>
      </c>
      <c r="O31" s="59" t="str">
        <f>G31*$E$7</f>
        <v>0</v>
      </c>
      <c r="P31" s="59" t="str">
        <f>K31*$E$7+O31</f>
        <v>0</v>
      </c>
      <c r="Q31" s="317" t="str">
        <f>P31/$P$38</f>
        <v>0</v>
      </c>
      <c r="R31" s="382" t="str">
        <f>($R$22/$Q$22)*Q31</f>
        <v>0</v>
      </c>
      <c r="S31" s="60" t="str">
        <f>I31*$E$7</f>
        <v>0</v>
      </c>
      <c r="T31" s="60" t="str">
        <f>M31*$E$7+S31</f>
        <v>0</v>
      </c>
      <c r="U31" s="435" t="str">
        <f>T31/$T$38</f>
        <v>0</v>
      </c>
      <c r="V31" s="382" t="str">
        <f>($V$22/$U$22)*U31</f>
        <v>0</v>
      </c>
      <c r="W31" s="382" t="str">
        <f>(P31+T31)/($P$22+$T$22)</f>
        <v>0</v>
      </c>
      <c r="X31" s="436"/>
      <c r="AB31" s="622"/>
      <c r="AC31" s="374"/>
      <c r="AD31" s="375" t="s">
        <v>211</v>
      </c>
      <c r="AE31" s="376" t="str">
        <f>$O$34</f>
        <v>0</v>
      </c>
      <c r="AF31" s="376" t="str">
        <f>$P$34</f>
        <v>0</v>
      </c>
      <c r="AG31" s="374">
        <v>901</v>
      </c>
      <c r="AH31" s="375" t="s">
        <v>212</v>
      </c>
      <c r="AI31" s="377" t="str">
        <f>$S$36</f>
        <v>0</v>
      </c>
      <c r="AJ31" s="377" t="str">
        <f>$T$36</f>
        <v>0</v>
      </c>
      <c r="AL31" s="408" t="str">
        <f>$AI$5*$AL$5*10%</f>
        <v>0</v>
      </c>
      <c r="AM31" s="409" t="str">
        <f>AL31+AN31*20%</f>
        <v>0</v>
      </c>
      <c r="AN31" s="410"/>
      <c r="AO31" s="411"/>
    </row>
    <row r="32" spans="1:42">
      <c r="A32" s="611"/>
      <c r="B32" s="70" t="s">
        <v>55</v>
      </c>
      <c r="C32" s="8">
        <v>16</v>
      </c>
      <c r="D32" s="43">
        <v>0.0788</v>
      </c>
      <c r="E32" s="2" t="str">
        <f>E$7*D32</f>
        <v>0</v>
      </c>
      <c r="F32" s="130" t="str">
        <f>E32/$E$22</f>
        <v>0</v>
      </c>
      <c r="G32" s="384" t="str">
        <f>6.97%-0.5%</f>
        <v>0</v>
      </c>
      <c r="H32" s="79" t="str">
        <f>G32/$G$38</f>
        <v>0</v>
      </c>
      <c r="I32" s="565" t="str">
        <f>2.02705882352941%+0.5%</f>
        <v>0</v>
      </c>
      <c r="J32" s="85" t="str">
        <f>I32/$I$38</f>
        <v>0</v>
      </c>
      <c r="K32" s="384" t="str">
        <f>2.736065%-1.236%</f>
        <v>0</v>
      </c>
      <c r="L32" s="117" t="str">
        <f>K32/$K$38</f>
        <v>0</v>
      </c>
      <c r="M32" s="434"/>
      <c r="N32" s="85" t="str">
        <f>M32/$M$38</f>
        <v>0</v>
      </c>
      <c r="O32" s="46" t="str">
        <f>G32*$E$7</f>
        <v>0</v>
      </c>
      <c r="P32" s="46" t="str">
        <f>K32*$E$7+O32</f>
        <v>0</v>
      </c>
      <c r="Q32" s="79" t="str">
        <f>P32/$P$38</f>
        <v>0</v>
      </c>
      <c r="R32" s="130" t="str">
        <f>($R$22/$Q$22)*Q32</f>
        <v>0</v>
      </c>
      <c r="S32" s="47" t="str">
        <f>I32*$E$7</f>
        <v>0</v>
      </c>
      <c r="T32" s="47" t="str">
        <f>M32*$E$7+S32</f>
        <v>0</v>
      </c>
      <c r="U32" s="85" t="str">
        <f>T32/$T$38</f>
        <v>0</v>
      </c>
      <c r="V32" s="130" t="str">
        <f>($V$22/$U$22)*U32</f>
        <v>0</v>
      </c>
      <c r="W32" s="130" t="str">
        <f>(P32+T32)/($P$22+$T$22)</f>
        <v>0</v>
      </c>
      <c r="X32" s="437"/>
      <c r="AB32" s="622"/>
      <c r="AC32" s="374"/>
      <c r="AD32" s="375" t="s">
        <v>208</v>
      </c>
      <c r="AE32" s="376" t="str">
        <f>$O$37</f>
        <v>0</v>
      </c>
      <c r="AF32" s="376" t="str">
        <f>$P$37</f>
        <v>0</v>
      </c>
      <c r="AG32" s="374" t="s">
        <v>124</v>
      </c>
      <c r="AH32" s="443" t="s">
        <v>125</v>
      </c>
      <c r="AI32" s="377" t="str">
        <f>$S$32+$S$31+AN35</f>
        <v>0</v>
      </c>
      <c r="AJ32" s="377" t="str">
        <f>$T$32+$T$31+($T$35-$S$35)/3</f>
        <v>0</v>
      </c>
      <c r="AL32" s="408"/>
      <c r="AM32" s="408"/>
      <c r="AN32" s="410"/>
      <c r="AO32" s="410"/>
    </row>
    <row r="33" spans="1:42" customHeight="1" ht="15.75">
      <c r="A33" s="611"/>
      <c r="B33" s="70" t="s">
        <v>58</v>
      </c>
      <c r="C33" s="8">
        <v>16</v>
      </c>
      <c r="D33" s="43">
        <v>0.0344</v>
      </c>
      <c r="E33" s="2" t="str">
        <f>E$7*D33</f>
        <v>0</v>
      </c>
      <c r="F33" s="130" t="str">
        <f>E33/$E$22</f>
        <v>0</v>
      </c>
      <c r="G33" s="384" t="str">
        <f>3.1%-0.6%</f>
        <v>0</v>
      </c>
      <c r="H33" s="79" t="str">
        <f>G33/$G$38</f>
        <v>0</v>
      </c>
      <c r="I33" s="99">
        <v>0</v>
      </c>
      <c r="J33" s="85" t="str">
        <f>I33/$I$38</f>
        <v>0</v>
      </c>
      <c r="K33" s="13">
        <v>0.001</v>
      </c>
      <c r="L33" s="117" t="str">
        <f>K33/$K$38</f>
        <v>0</v>
      </c>
      <c r="M33" s="434"/>
      <c r="N33" s="85" t="str">
        <f>M33/$M$38</f>
        <v>0</v>
      </c>
      <c r="O33" s="46" t="str">
        <f>G33*$E$7</f>
        <v>0</v>
      </c>
      <c r="P33" s="46" t="str">
        <f>K33*$E$7+O33</f>
        <v>0</v>
      </c>
      <c r="Q33" s="79" t="str">
        <f>P33/$P$38</f>
        <v>0</v>
      </c>
      <c r="R33" s="130" t="str">
        <f>($R$22/$Q$22)*Q33</f>
        <v>0</v>
      </c>
      <c r="S33" s="47" t="str">
        <f>I33*$E$7</f>
        <v>0</v>
      </c>
      <c r="T33" s="47" t="str">
        <f>M33*$E$7+S33</f>
        <v>0</v>
      </c>
      <c r="U33" s="85" t="str">
        <f>T33/$T$38</f>
        <v>0</v>
      </c>
      <c r="V33" s="130" t="str">
        <f>($V$22/$U$22)*U33</f>
        <v>0</v>
      </c>
      <c r="W33" s="130" t="str">
        <f>(P33+T33)/($P$22+$T$22)</f>
        <v>0</v>
      </c>
      <c r="X33" s="437"/>
      <c r="AB33" s="623"/>
      <c r="AC33" s="356" t="s">
        <v>40</v>
      </c>
      <c r="AD33" s="357" t="s">
        <v>213</v>
      </c>
      <c r="AE33" s="364" t="str">
        <f>$O$35</f>
        <v>0</v>
      </c>
      <c r="AF33" s="364" t="str">
        <f>$P$35</f>
        <v>0</v>
      </c>
      <c r="AG33" s="356" t="s">
        <v>126</v>
      </c>
      <c r="AH33" s="441" t="s">
        <v>127</v>
      </c>
      <c r="AI33" s="370">
        <v>0</v>
      </c>
      <c r="AJ33" s="370" t="str">
        <f>($T$35-$S$35)*2/3</f>
        <v>0</v>
      </c>
      <c r="AL33" s="408" t="str">
        <f>$AI$4*$AL$6+$AI$5*$AL$6</f>
        <v>0</v>
      </c>
      <c r="AM33" s="409" t="str">
        <f>AL33+AN33*20%</f>
        <v>0</v>
      </c>
      <c r="AN33" s="410" t="str">
        <f>$AI$4*$AN$6*75%</f>
        <v>0</v>
      </c>
      <c r="AO33" s="411" t="str">
        <f>AN33/75%</f>
        <v>0</v>
      </c>
    </row>
    <row r="34" spans="1:42" customHeight="1" ht="15.75">
      <c r="A34" s="611"/>
      <c r="B34" s="70" t="s">
        <v>56</v>
      </c>
      <c r="C34" s="8">
        <v>16</v>
      </c>
      <c r="D34" s="43">
        <v>0.0132</v>
      </c>
      <c r="E34" s="2" t="str">
        <f>E$7*D34</f>
        <v>0</v>
      </c>
      <c r="F34" s="130" t="str">
        <f>E34/$E$22</f>
        <v>0</v>
      </c>
      <c r="G34" s="13" t="str">
        <f>1.32%</f>
        <v>0</v>
      </c>
      <c r="H34" s="79" t="str">
        <f>G34/$G$38</f>
        <v>0</v>
      </c>
      <c r="I34" s="99">
        <v>0</v>
      </c>
      <c r="J34" s="85" t="str">
        <f>I34/$I$38</f>
        <v>0</v>
      </c>
      <c r="K34" s="13" t="str">
        <f>0.6%-0.1%</f>
        <v>0</v>
      </c>
      <c r="L34" s="117" t="str">
        <f>K34/$K$38</f>
        <v>0</v>
      </c>
      <c r="M34" s="434"/>
      <c r="N34" s="85" t="str">
        <f>M34/$M$38</f>
        <v>0</v>
      </c>
      <c r="O34" s="46" t="str">
        <f>G34*$E$7</f>
        <v>0</v>
      </c>
      <c r="P34" s="46" t="str">
        <f>K34*$E$7+O34</f>
        <v>0</v>
      </c>
      <c r="Q34" s="79" t="str">
        <f>P34/$P$38</f>
        <v>0</v>
      </c>
      <c r="R34" s="130" t="str">
        <f>($R$22/$Q$22)*Q34</f>
        <v>0</v>
      </c>
      <c r="S34" s="47" t="str">
        <f>I34*$E$7</f>
        <v>0</v>
      </c>
      <c r="T34" s="47" t="str">
        <f>M34*$E$7+S34</f>
        <v>0</v>
      </c>
      <c r="U34" s="85" t="str">
        <f>T34/$T$38</f>
        <v>0</v>
      </c>
      <c r="V34" s="130" t="str">
        <f>($V$22/$U$22)*U34</f>
        <v>0</v>
      </c>
      <c r="W34" s="130" t="str">
        <f>(P34+T34)/($P$22+$T$22)</f>
        <v>0</v>
      </c>
      <c r="X34" s="437"/>
      <c r="AB34" s="387"/>
      <c r="AC34" s="385"/>
      <c r="AD34" s="233"/>
      <c r="AE34" s="232"/>
      <c r="AF34" s="232"/>
      <c r="AG34" s="385"/>
      <c r="AH34" s="386"/>
      <c r="AI34" s="231"/>
      <c r="AJ34" s="231"/>
      <c r="AL34" s="408"/>
      <c r="AM34" s="408"/>
      <c r="AN34" s="410"/>
      <c r="AO34" s="410"/>
    </row>
    <row r="35" spans="1:42" customHeight="1" ht="15.75">
      <c r="A35" s="611"/>
      <c r="B35" s="70" t="s">
        <v>214</v>
      </c>
      <c r="C35" s="8">
        <v>16</v>
      </c>
      <c r="D35" s="43">
        <v>0.0225</v>
      </c>
      <c r="E35" s="2" t="str">
        <f>E$7*D35</f>
        <v>0</v>
      </c>
      <c r="F35" s="129" t="str">
        <f>E35/$E$22</f>
        <v>0</v>
      </c>
      <c r="G35" s="13">
        <v>0.0044462316176471</v>
      </c>
      <c r="H35" s="79" t="str">
        <f>G35/$G$38</f>
        <v>0</v>
      </c>
      <c r="I35" s="99">
        <v>0.018053768382353</v>
      </c>
      <c r="J35" s="85" t="str">
        <f>I35/$I$38</f>
        <v>0</v>
      </c>
      <c r="K35" s="434"/>
      <c r="L35" s="78"/>
      <c r="M35" s="565" t="str">
        <f>6%-0.6%-0.21%-0.5%</f>
        <v>0</v>
      </c>
      <c r="N35" s="85" t="str">
        <f>M35/$M$38</f>
        <v>0</v>
      </c>
      <c r="O35" s="46" t="str">
        <f>G35*$E$7</f>
        <v>0</v>
      </c>
      <c r="P35" s="46" t="str">
        <f>K35*$E$7+O35</f>
        <v>0</v>
      </c>
      <c r="Q35" s="79" t="str">
        <f>P35/$P$38</f>
        <v>0</v>
      </c>
      <c r="R35" s="129"/>
      <c r="S35" s="47" t="str">
        <f>I35*$E$7</f>
        <v>0</v>
      </c>
      <c r="T35" s="47" t="str">
        <f>M35*$E$7+S35</f>
        <v>0</v>
      </c>
      <c r="U35" s="85" t="str">
        <f>T35/$T$38</f>
        <v>0</v>
      </c>
      <c r="V35" s="130" t="str">
        <f>($V$22/$U$22)*U35</f>
        <v>0</v>
      </c>
      <c r="W35" s="129" t="str">
        <f>(P35+T35)/($P$22+$T$22)</f>
        <v>0</v>
      </c>
      <c r="X35" s="447"/>
      <c r="AB35" s="234"/>
      <c r="AC35" s="235"/>
      <c r="AD35" s="236"/>
      <c r="AE35" s="68" t="str">
        <f>SUM(AE6:AE34)</f>
        <v>0</v>
      </c>
      <c r="AF35" s="68" t="str">
        <f>SUM(AF6:AF34)</f>
        <v>0</v>
      </c>
      <c r="AG35" s="235"/>
      <c r="AH35" s="236"/>
      <c r="AI35" s="68" t="str">
        <f>SUM(AI6:AI34)</f>
        <v>0</v>
      </c>
      <c r="AJ35" s="68" t="str">
        <f>SUM(AJ5:AJ34)</f>
        <v>0</v>
      </c>
      <c r="AL35" s="408" t="str">
        <f>$AI$4*$AL$7+$AI$5*$AL$7</f>
        <v>0</v>
      </c>
      <c r="AM35" s="409" t="str">
        <f>AL35+AN35*20%</f>
        <v>0</v>
      </c>
      <c r="AN35" s="410" t="str">
        <f>$AI$4*$AN$6*25%+$AI$5*$AN$6</f>
        <v>0</v>
      </c>
      <c r="AO35" s="411" t="str">
        <f>AN35/75%</f>
        <v>0</v>
      </c>
    </row>
    <row r="36" spans="1:42" customHeight="1" ht="15.75">
      <c r="A36" s="611"/>
      <c r="B36" s="70"/>
      <c r="C36" s="456"/>
      <c r="D36" s="43"/>
      <c r="E36" s="2"/>
      <c r="F36" s="136"/>
      <c r="G36" s="139"/>
      <c r="H36" s="126"/>
      <c r="I36" s="38"/>
      <c r="J36" s="126"/>
      <c r="K36" s="38"/>
      <c r="L36" s="126"/>
      <c r="M36" s="38"/>
      <c r="N36" s="126"/>
      <c r="O36" s="139"/>
      <c r="P36" s="64"/>
      <c r="Q36" s="126"/>
      <c r="R36" s="136"/>
      <c r="S36" s="64"/>
      <c r="T36" s="64"/>
      <c r="U36" s="126"/>
      <c r="V36" s="136"/>
      <c r="W36" s="136"/>
      <c r="X36" s="287"/>
      <c r="AB36" s="225"/>
      <c r="AC36" s="237"/>
      <c r="AD36" s="224"/>
      <c r="AE36" s="224"/>
      <c r="AF36" s="224"/>
      <c r="AG36" s="237"/>
      <c r="AH36" s="224"/>
      <c r="AI36" s="224"/>
      <c r="AJ36" s="225"/>
      <c r="AL36" s="408"/>
      <c r="AM36" s="408"/>
      <c r="AN36" s="410"/>
      <c r="AO36" s="410"/>
    </row>
    <row r="37" spans="1:42" customHeight="1" ht="15.75">
      <c r="A37" s="612"/>
      <c r="B37" s="40" t="s">
        <v>216</v>
      </c>
      <c r="C37" s="17">
        <v>17</v>
      </c>
      <c r="D37" s="56">
        <v>0.009</v>
      </c>
      <c r="E37" s="142" t="str">
        <f>E$7*D37</f>
        <v>0</v>
      </c>
      <c r="F37" s="145" t="str">
        <f>E37/$E$22</f>
        <v>0</v>
      </c>
      <c r="G37" s="18">
        <v>0.009</v>
      </c>
      <c r="H37" s="82" t="str">
        <f>G37/$G$38</f>
        <v>0</v>
      </c>
      <c r="I37" s="140"/>
      <c r="J37" s="140"/>
      <c r="K37" s="18">
        <v>0</v>
      </c>
      <c r="L37" s="118" t="str">
        <f>K37/$K$38</f>
        <v>0</v>
      </c>
      <c r="M37" s="140"/>
      <c r="N37" s="140"/>
      <c r="O37" s="57" t="str">
        <f>G37*$E$7</f>
        <v>0</v>
      </c>
      <c r="P37" s="57" t="str">
        <f>K37*$E$7+O37</f>
        <v>0</v>
      </c>
      <c r="Q37" s="82" t="str">
        <f>P37/$P$38</f>
        <v>0</v>
      </c>
      <c r="R37" s="145" t="str">
        <f>($R$22/$Q$22)*Q37</f>
        <v>0</v>
      </c>
      <c r="S37" s="140"/>
      <c r="T37" s="140"/>
      <c r="U37" s="140"/>
      <c r="V37" s="457"/>
      <c r="W37" s="145" t="str">
        <f>(P37+T37)/($P$22+$T$22)</f>
        <v>0</v>
      </c>
      <c r="X37" s="438"/>
      <c r="AL37" s="408"/>
      <c r="AM37" s="408"/>
      <c r="AN37" s="410"/>
      <c r="AO37" s="410"/>
    </row>
    <row r="38" spans="1:42" customHeight="1" ht="15.75">
      <c r="A38" s="458"/>
      <c r="B38" s="459" t="s">
        <v>217</v>
      </c>
      <c r="C38" s="460"/>
      <c r="D38" s="461" t="str">
        <f>SUM(D12:D37)</f>
        <v>0</v>
      </c>
      <c r="E38" s="462" t="str">
        <f>SUM(E12:E37)</f>
        <v>0</v>
      </c>
      <c r="F38" s="463" t="str">
        <f>E38/$E$22</f>
        <v>0</v>
      </c>
      <c r="G38" s="464" t="str">
        <f>SUM(G12:G37)</f>
        <v>0</v>
      </c>
      <c r="H38" s="465" t="str">
        <f>SUM(H13:H37)</f>
        <v>0</v>
      </c>
      <c r="I38" s="464" t="str">
        <f>SUM(I12:I37)</f>
        <v>0</v>
      </c>
      <c r="J38" s="465" t="str">
        <f>SUM(J13:J37)</f>
        <v>0</v>
      </c>
      <c r="K38" s="464" t="str">
        <f>SUM(K12:K37)</f>
        <v>0</v>
      </c>
      <c r="L38" s="466" t="str">
        <f>SUM(L13:L37)</f>
        <v>0</v>
      </c>
      <c r="M38" s="464" t="str">
        <f>SUM(M12:M37)</f>
        <v>0</v>
      </c>
      <c r="N38" s="465" t="str">
        <f>SUM(N13:N37)</f>
        <v>0</v>
      </c>
      <c r="O38" s="406" t="str">
        <f>SUM(O12:O37)</f>
        <v>0</v>
      </c>
      <c r="P38" s="406" t="str">
        <f>SUM(P12:P37)</f>
        <v>0</v>
      </c>
      <c r="Q38" s="467" t="str">
        <f>SUM(Q13:Q37)</f>
        <v>0</v>
      </c>
      <c r="R38" s="463" t="str">
        <f>SUM(R13:R37)</f>
        <v>0</v>
      </c>
      <c r="S38" s="406" t="str">
        <f>SUM(S12:S37)</f>
        <v>0</v>
      </c>
      <c r="T38" s="406" t="str">
        <f>SUM(T12:T37)</f>
        <v>0</v>
      </c>
      <c r="U38" s="467" t="str">
        <f>SUM(U13:U37)</f>
        <v>0</v>
      </c>
      <c r="V38" s="463" t="str">
        <f>SUM(V13:V37)</f>
        <v>0</v>
      </c>
      <c r="W38" s="463" t="str">
        <f>(P38+T38)/($P$22+$T$22)</f>
        <v>0</v>
      </c>
      <c r="X38" s="469" t="str">
        <f>W38/F38</f>
        <v>0</v>
      </c>
      <c r="AL38" s="406" t="str">
        <f>SUM(AL12:AL37)</f>
        <v>0</v>
      </c>
      <c r="AM38" s="406" t="str">
        <f>SUM(AM12:AM37)</f>
        <v>0</v>
      </c>
      <c r="AN38" s="406" t="str">
        <f>SUM(AN12:AN37)</f>
        <v>0</v>
      </c>
      <c r="AO38" s="406" t="str">
        <f>SUM(AO12:AO37)</f>
        <v>0</v>
      </c>
    </row>
    <row r="39" spans="1:42">
      <c r="F39" s="272"/>
      <c r="G39" s="629" t="str">
        <f>G38+I38</f>
        <v>0</v>
      </c>
      <c r="H39" s="630"/>
      <c r="I39" s="631"/>
      <c r="J39" s="271"/>
      <c r="K39" s="631" t="str">
        <f>K38+M38</f>
        <v>0</v>
      </c>
      <c r="L39" s="631"/>
      <c r="M39" s="631"/>
      <c r="N39" s="271"/>
      <c r="O39" s="632" t="str">
        <f>(P38-O38)/S38</f>
        <v>0</v>
      </c>
      <c r="P39" s="630"/>
      <c r="Q39" s="272"/>
      <c r="R39" s="272"/>
      <c r="S39" s="632" t="str">
        <f>T38/S38-1</f>
        <v>0</v>
      </c>
      <c r="T39" s="633"/>
      <c r="U39" s="271"/>
      <c r="V39" s="125"/>
      <c r="W39" s="272"/>
      <c r="X39" s="289" t="str">
        <f>S38/T38</f>
        <v>0</v>
      </c>
      <c r="Y39" t="s">
        <v>218</v>
      </c>
    </row>
    <row r="40" spans="1:42" customHeight="1" ht="15.75">
      <c r="F40" s="270"/>
      <c r="G40" s="103" t="str">
        <f>G38/G39</f>
        <v>0</v>
      </c>
      <c r="H40" s="104"/>
      <c r="I40" s="105" t="str">
        <f>I38/G39</f>
        <v>0</v>
      </c>
      <c r="J40" s="76"/>
      <c r="K40" s="634" t="s">
        <v>244</v>
      </c>
      <c r="L40" s="635"/>
      <c r="M40" s="636"/>
      <c r="N40" s="321"/>
      <c r="O40" s="637">
        <v>0.2</v>
      </c>
      <c r="P40" s="638"/>
      <c r="Q40" s="270"/>
      <c r="R40" s="270"/>
      <c r="S40" s="637" t="str">
        <f>1/0.75-1</f>
        <v>0</v>
      </c>
      <c r="T40" s="639"/>
      <c r="U40" s="91"/>
      <c r="V40" s="124"/>
      <c r="W40" s="270"/>
      <c r="X40" s="289" t="str">
        <f>O38/P38</f>
        <v>0</v>
      </c>
      <c r="Y40" t="s">
        <v>220</v>
      </c>
    </row>
    <row r="41" spans="1:42" customHeight="1" ht="30.75">
      <c r="D41" s="106"/>
      <c r="E41" s="290"/>
      <c r="F41" s="291"/>
      <c r="G41" s="291"/>
      <c r="H41" s="291"/>
      <c r="I41" s="291"/>
      <c r="J41" s="291"/>
      <c r="K41" s="291"/>
      <c r="L41" s="291"/>
      <c r="M41" s="291"/>
      <c r="N41" s="291"/>
      <c r="O41" s="292" t="str">
        <f>O38/(O38+S38)</f>
        <v>0</v>
      </c>
      <c r="P41" s="292" t="str">
        <f>P38/(P38+T38)</f>
        <v>0</v>
      </c>
      <c r="Q41" s="291"/>
      <c r="R41" s="291"/>
      <c r="S41" s="292" t="str">
        <f>S38/(O38+S38)</f>
        <v>0</v>
      </c>
      <c r="T41" s="292" t="str">
        <f>T38/(P38+T38)</f>
        <v>0</v>
      </c>
      <c r="U41" s="293"/>
      <c r="V41" s="294"/>
      <c r="W41" s="291"/>
      <c r="X41" s="295" t="str">
        <f>(O38+S38+E41)/(P38+T38+E41)</f>
        <v>0</v>
      </c>
      <c r="Y41" s="296" t="s">
        <v>221</v>
      </c>
    </row>
    <row r="42" spans="1:42" customHeight="1" ht="45">
      <c r="A42" s="627" t="s">
        <v>222</v>
      </c>
      <c r="B42" s="39" t="s">
        <v>223</v>
      </c>
      <c r="C42" s="15"/>
      <c r="D42" s="109">
        <v>0.05</v>
      </c>
      <c r="E42" s="93" t="str">
        <f>E$4*D42</f>
        <v>0</v>
      </c>
      <c r="F42" s="122"/>
      <c r="G42" s="71"/>
      <c r="H42" s="71"/>
      <c r="I42" s="72"/>
      <c r="J42" s="72"/>
      <c r="K42" s="72"/>
      <c r="L42" s="71"/>
      <c r="M42" s="72"/>
      <c r="N42" s="72"/>
      <c r="O42" s="34"/>
      <c r="P42" s="35"/>
      <c r="Q42" s="71"/>
      <c r="R42" s="122"/>
      <c r="S42" s="35"/>
      <c r="T42" s="35"/>
      <c r="U42" s="71"/>
      <c r="V42" s="71"/>
      <c r="W42" s="122"/>
      <c r="X42" s="297" t="str">
        <f>(O38+S38+E41+E42)/(P38+T38+E41)</f>
        <v>0</v>
      </c>
      <c r="Y42" s="296" t="s">
        <v>224</v>
      </c>
    </row>
    <row r="43" spans="1:42" customHeight="1" ht="45.75">
      <c r="A43" s="628"/>
      <c r="B43" s="40" t="s">
        <v>225</v>
      </c>
      <c r="C43" s="17"/>
      <c r="D43" s="110">
        <v>0.05</v>
      </c>
      <c r="E43" s="27" t="str">
        <f>E$4*D43</f>
        <v>0</v>
      </c>
      <c r="F43" s="123"/>
      <c r="G43" s="73"/>
      <c r="H43" s="73"/>
      <c r="I43" s="74"/>
      <c r="J43" s="75"/>
      <c r="K43" s="75"/>
      <c r="L43" s="73"/>
      <c r="M43" s="75"/>
      <c r="N43" s="75"/>
      <c r="O43" s="36"/>
      <c r="P43" s="36"/>
      <c r="Q43" s="73"/>
      <c r="R43" s="123"/>
      <c r="S43" s="36"/>
      <c r="T43" s="36"/>
      <c r="U43" s="73"/>
      <c r="V43" s="73"/>
      <c r="W43" s="123"/>
      <c r="X43" s="298" t="str">
        <f>(O38+S38+E41+E42+E43)/(P38+T38+E41+E43/2)</f>
        <v>0</v>
      </c>
      <c r="Y43" s="296" t="s">
        <v>226</v>
      </c>
    </row>
    <row r="44" spans="1:42" customHeight="1" ht="15.75" s="1" customFormat="1">
      <c r="A44" s="28"/>
      <c r="B44" s="29"/>
      <c r="C44" s="30"/>
      <c r="D44" s="107" t="str">
        <f>D38+D42+D43</f>
        <v>0</v>
      </c>
      <c r="E44" s="108" t="str">
        <f>E38+E41+E42+E43</f>
        <v>0</v>
      </c>
      <c r="F44" s="32"/>
      <c r="G44" s="32"/>
      <c r="H44" s="32"/>
      <c r="I44" s="33"/>
      <c r="J44" s="33"/>
      <c r="K44" s="33"/>
      <c r="L44" s="32"/>
      <c r="M44" s="33"/>
      <c r="N44" s="33"/>
      <c r="O44" s="31"/>
      <c r="P44" s="31"/>
      <c r="Q44" s="32"/>
      <c r="R44" s="32"/>
      <c r="S44" s="31"/>
      <c r="T44" s="31"/>
      <c r="U44" s="32"/>
      <c r="V44" s="32"/>
      <c r="W44" s="32"/>
      <c r="X44" s="299" t="str">
        <f>1/X43</f>
        <v>0</v>
      </c>
      <c r="Y44" s="300" t="s">
        <v>227</v>
      </c>
      <c r="Z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42" customHeight="1" ht="60">
      <c r="A45" s="10"/>
      <c r="B45" s="301"/>
      <c r="C45" s="106"/>
      <c r="D45" s="106"/>
      <c r="E45" s="111"/>
      <c r="F45" s="302"/>
      <c r="G45" s="302" t="s">
        <v>228</v>
      </c>
      <c r="H45" s="111"/>
      <c r="I45" s="302" t="s">
        <v>229</v>
      </c>
      <c r="J45" s="111"/>
      <c r="K45" s="302" t="s">
        <v>228</v>
      </c>
      <c r="L45" s="111"/>
      <c r="M45" s="302" t="s">
        <v>229</v>
      </c>
      <c r="N45" s="111"/>
      <c r="O45" s="302" t="s">
        <v>230</v>
      </c>
      <c r="P45" s="302" t="s">
        <v>231</v>
      </c>
      <c r="Q45" s="302" t="s">
        <v>228</v>
      </c>
      <c r="R45" s="302"/>
      <c r="S45" s="111"/>
      <c r="T45" s="111"/>
      <c r="U45" s="302" t="s">
        <v>229</v>
      </c>
      <c r="V45" s="302"/>
      <c r="W45" s="302"/>
      <c r="Y45" s="300"/>
      <c r="Z45" s="1"/>
    </row>
    <row r="46" spans="1:42">
      <c r="A46" s="303"/>
      <c r="B46" s="301" t="s">
        <v>232</v>
      </c>
      <c r="C46" s="304" t="s">
        <v>233</v>
      </c>
      <c r="D46" s="106"/>
      <c r="E46" s="111"/>
      <c r="F46" s="305"/>
      <c r="G46" s="112" t="str">
        <f>SUM(G12:G19)+SUM(G23:G24)+G26</f>
        <v>0</v>
      </c>
      <c r="H46" s="111"/>
      <c r="I46" s="112" t="str">
        <f>SUM(I12:I19)+SUM(I23:I24)+I26</f>
        <v>0</v>
      </c>
      <c r="J46" s="111"/>
      <c r="K46" s="112" t="str">
        <f>SUM(K12:K19)+SUM(K23:K24)+K26</f>
        <v>0</v>
      </c>
      <c r="L46" s="111"/>
      <c r="M46" s="112" t="str">
        <f>SUM(M12:M19)+SUM(M23:M24)+M26</f>
        <v>0</v>
      </c>
      <c r="N46" s="111"/>
      <c r="O46" s="306">
        <v>0.016</v>
      </c>
      <c r="P46" s="307" t="str">
        <f>(SUM(P12:P19)+SUM(P23:P24)+P26)*O46/Q46</f>
        <v>0</v>
      </c>
      <c r="Q46" s="305" t="str">
        <f>SUM(Q12:Q19)+SUM(Q23:Q24)+Q26</f>
        <v>0</v>
      </c>
      <c r="R46" s="305"/>
      <c r="S46" s="112"/>
      <c r="T46" s="112"/>
      <c r="U46" s="113" t="str">
        <f>SUM(U12:U19)+SUM(U23:U24)+U26</f>
        <v>0</v>
      </c>
      <c r="V46" s="113"/>
      <c r="W46" s="305"/>
    </row>
    <row r="47" spans="1:42">
      <c r="A47" s="11"/>
      <c r="B47" s="301" t="s">
        <v>234</v>
      </c>
      <c r="C47" s="304" t="s">
        <v>235</v>
      </c>
      <c r="D47" s="106"/>
      <c r="E47" s="111"/>
      <c r="F47" s="305"/>
      <c r="G47" s="112" t="str">
        <f>SUM(G20:G22)</f>
        <v>0</v>
      </c>
      <c r="H47" s="111"/>
      <c r="I47" s="112" t="str">
        <f>SUM(I20:I22)</f>
        <v>0</v>
      </c>
      <c r="J47" s="111"/>
      <c r="K47" s="112" t="str">
        <f>SUM(K20:K22)</f>
        <v>0</v>
      </c>
      <c r="L47" s="111"/>
      <c r="M47" s="112" t="str">
        <f>SUM(M20:M22)</f>
        <v>0</v>
      </c>
      <c r="N47" s="111"/>
      <c r="O47" s="306">
        <v>0.021</v>
      </c>
      <c r="P47" s="307" t="str">
        <f>SUM(P20:P22)*O47/Q47</f>
        <v>0</v>
      </c>
      <c r="Q47" s="305" t="str">
        <f>SUM(Q20:Q22)</f>
        <v>0</v>
      </c>
      <c r="R47" s="305"/>
      <c r="S47" s="112"/>
      <c r="T47" s="112"/>
      <c r="U47" s="113" t="str">
        <f>SUM(U20:U22)</f>
        <v>0</v>
      </c>
      <c r="V47" s="113"/>
      <c r="W47" s="305"/>
    </row>
    <row r="48" spans="1:42">
      <c r="A48" s="11"/>
      <c r="B48" s="301" t="s">
        <v>236</v>
      </c>
      <c r="C48" s="304" t="s">
        <v>233</v>
      </c>
      <c r="D48" s="106"/>
      <c r="E48" s="111"/>
      <c r="F48" s="305"/>
      <c r="G48" s="112" t="str">
        <f>G27+G25</f>
        <v>0</v>
      </c>
      <c r="H48" s="111"/>
      <c r="I48" s="112" t="str">
        <f>I27+I25</f>
        <v>0</v>
      </c>
      <c r="J48" s="111"/>
      <c r="K48" s="112" t="str">
        <f>K27+K25</f>
        <v>0</v>
      </c>
      <c r="L48" s="111"/>
      <c r="M48" s="112" t="str">
        <f>M27+M25</f>
        <v>0</v>
      </c>
      <c r="N48" s="111"/>
      <c r="O48" s="306">
        <v>0.02</v>
      </c>
      <c r="P48" s="307" t="str">
        <f>(P27+P25)*O48/Q48</f>
        <v>0</v>
      </c>
      <c r="Q48" s="305" t="str">
        <f>Q27+Q25</f>
        <v>0</v>
      </c>
      <c r="R48" s="305"/>
      <c r="S48" s="112"/>
      <c r="T48" s="112"/>
      <c r="U48" s="113" t="str">
        <f>U27+U25</f>
        <v>0</v>
      </c>
      <c r="V48" s="113"/>
      <c r="W48" s="305"/>
    </row>
    <row r="49" spans="1:42">
      <c r="A49" s="11"/>
      <c r="B49" s="301" t="s">
        <v>237</v>
      </c>
      <c r="C49" s="304" t="s">
        <v>238</v>
      </c>
      <c r="D49" s="106"/>
      <c r="E49" s="111"/>
      <c r="F49" s="305"/>
      <c r="G49" s="112" t="str">
        <f>G29+G37+G30</f>
        <v>0</v>
      </c>
      <c r="H49" s="111"/>
      <c r="I49" s="112" t="str">
        <f>I29+I37+I30</f>
        <v>0</v>
      </c>
      <c r="J49" s="111"/>
      <c r="K49" s="112" t="str">
        <f>K29+K37+K30</f>
        <v>0</v>
      </c>
      <c r="L49" s="111"/>
      <c r="M49" s="112" t="str">
        <f>M29+M37+M30</f>
        <v>0</v>
      </c>
      <c r="N49" s="111"/>
      <c r="O49" s="306">
        <v>0.01</v>
      </c>
      <c r="P49" s="307" t="str">
        <f>(P29+P37+P30)*O49/Q49</f>
        <v>0</v>
      </c>
      <c r="Q49" s="305" t="str">
        <f>Q29+Q37+Q30</f>
        <v>0</v>
      </c>
      <c r="R49" s="305"/>
      <c r="S49" s="112"/>
      <c r="T49" s="112"/>
      <c r="U49" s="113" t="str">
        <f>U29+U37+U30</f>
        <v>0</v>
      </c>
      <c r="V49" s="113"/>
      <c r="W49" s="305"/>
      <c r="AB49" s="1"/>
      <c r="AC49" s="1"/>
      <c r="AD49" s="1"/>
      <c r="AE49" s="1"/>
      <c r="AF49" s="1"/>
      <c r="AG49" s="1"/>
      <c r="AH49" s="1"/>
      <c r="AI49" s="1"/>
      <c r="AJ49" s="1"/>
    </row>
    <row r="50" spans="1:42" customHeight="1" ht="15.75">
      <c r="A50" s="11"/>
      <c r="B50" s="301" t="s">
        <v>239</v>
      </c>
      <c r="C50" s="304" t="s">
        <v>240</v>
      </c>
      <c r="D50" s="106"/>
      <c r="E50" s="111"/>
      <c r="F50" s="308"/>
      <c r="G50" s="309" t="str">
        <f>SUM(G31:G35)</f>
        <v>0</v>
      </c>
      <c r="H50" s="111"/>
      <c r="I50" s="309" t="str">
        <f>SUM(I31:I35)</f>
        <v>0</v>
      </c>
      <c r="J50" s="111"/>
      <c r="K50" s="309" t="str">
        <f>SUM(K31:K35)</f>
        <v>0</v>
      </c>
      <c r="L50" s="111"/>
      <c r="M50" s="309" t="str">
        <f>SUM(M31:M35)</f>
        <v>0</v>
      </c>
      <c r="N50" s="111"/>
      <c r="O50" s="310">
        <v>0</v>
      </c>
      <c r="P50" s="311" t="str">
        <f>SUM(P31:P35)*O50/Q50</f>
        <v>0</v>
      </c>
      <c r="Q50" s="312" t="str">
        <f>SUM(Q31:Q35)</f>
        <v>0</v>
      </c>
      <c r="R50" s="308"/>
      <c r="S50" s="313"/>
      <c r="T50" s="313"/>
      <c r="U50" s="312" t="str">
        <f>SUM(U31:U35)</f>
        <v>0</v>
      </c>
      <c r="V50" s="308"/>
      <c r="W50" s="308"/>
    </row>
    <row r="51" spans="1:42">
      <c r="A51" s="11"/>
      <c r="B51" s="111"/>
      <c r="C51" s="106"/>
      <c r="D51" s="106"/>
      <c r="E51" s="111"/>
      <c r="F51" s="113"/>
      <c r="G51" s="112" t="str">
        <f>SUM(G46:G50)</f>
        <v>0</v>
      </c>
      <c r="H51" s="111"/>
      <c r="I51" s="112" t="str">
        <f>SUM(I46:I50)</f>
        <v>0</v>
      </c>
      <c r="J51" s="111"/>
      <c r="K51" s="112" t="str">
        <f>SUM(K46:K50)</f>
        <v>0</v>
      </c>
      <c r="L51" s="111"/>
      <c r="M51" s="112" t="str">
        <f>SUM(M46:M50)</f>
        <v>0</v>
      </c>
      <c r="N51" s="111"/>
      <c r="O51" s="112" t="str">
        <f>SUM(O46:O50)</f>
        <v>0</v>
      </c>
      <c r="P51" s="114" t="str">
        <f>SUM(P46:P50)</f>
        <v>0</v>
      </c>
      <c r="Q51" s="113" t="str">
        <f>SUM(Q46:Q50)</f>
        <v>0</v>
      </c>
      <c r="R51" s="113"/>
      <c r="S51" s="112"/>
      <c r="T51" s="112"/>
      <c r="U51" s="113" t="str">
        <f>SUM(U46:U50)</f>
        <v>0</v>
      </c>
      <c r="V51" s="113"/>
      <c r="W51" s="113"/>
    </row>
    <row r="52" spans="1:42">
      <c r="A52" s="11"/>
      <c r="P52" s="92"/>
      <c r="S52" s="116"/>
    </row>
    <row r="53" spans="1:42">
      <c r="A53" s="11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</row>
    <row r="55" spans="1:42">
      <c r="A55" s="10"/>
    </row>
    <row r="56" spans="1:42">
      <c r="C56" s="12"/>
      <c r="D56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L23:AM23"/>
    <mergeCell ref="AN23:AO23"/>
    <mergeCell ref="A9:B9"/>
    <mergeCell ref="A6:B6"/>
    <mergeCell ref="A3:B3"/>
    <mergeCell ref="A4:B4"/>
    <mergeCell ref="A5:B5"/>
    <mergeCell ref="A7:B7"/>
    <mergeCell ref="A8:B8"/>
    <mergeCell ref="AB21:AB24"/>
    <mergeCell ref="AG11:AH11"/>
    <mergeCell ref="G10:N10"/>
    <mergeCell ref="O10:V10"/>
    <mergeCell ref="A12:A19"/>
    <mergeCell ref="A20:A21"/>
    <mergeCell ref="A23:A24"/>
    <mergeCell ref="AC11:AD11"/>
    <mergeCell ref="AB25:AB28"/>
    <mergeCell ref="AB12:AB16"/>
    <mergeCell ref="AB17:AB20"/>
    <mergeCell ref="A42:A43"/>
    <mergeCell ref="G39:I39"/>
    <mergeCell ref="K39:M39"/>
    <mergeCell ref="O39:P39"/>
    <mergeCell ref="S39:T39"/>
    <mergeCell ref="K40:M40"/>
    <mergeCell ref="O40:P40"/>
    <mergeCell ref="S40:T40"/>
    <mergeCell ref="A31:A37"/>
    <mergeCell ref="AB29:AB33"/>
  </mergeCells>
  <printOptions gridLines="false" gridLinesSet="true"/>
  <pageMargins left="0.23622047244094" right="0.23622047244094" top="0.31496062992126" bottom="0.23622047244094" header="0.15748031496063" footer="0.15748031496063"/>
  <pageSetup paperSize="9" orientation="landscape" scale="21" fitToHeight="1" fitToWidth="1"/>
  <headerFooter differentOddEven="false" differentFirst="false" scaleWithDoc="true" alignWithMargins="true">
    <oddHeader/>
    <oddFooter>&amp;L&amp;F&amp;A&amp;R&amp;D&amp;T</oddFooter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French Project</vt:lpstr>
      <vt:lpstr>Indian Project</vt:lpstr>
      <vt:lpstr>Development effort</vt:lpstr>
      <vt:lpstr>Int. Budget On-Off 1</vt:lpstr>
      <vt:lpstr>Int. Budget On-Off 2</vt:lpstr>
      <vt:lpstr>Int. Budget On-Off 3</vt:lpstr>
    </vt:vector>
  </TitlesOfParts>
  <Company>Sopra Group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jjCouzinié</dc:creator>
  <cp:lastModifiedBy>skant</cp:lastModifiedBy>
  <dcterms:created xsi:type="dcterms:W3CDTF">2013-06-17T12:23:09+00:00</dcterms:created>
  <dcterms:modified xsi:type="dcterms:W3CDTF">2017-06-29T18:18:47+00:00</dcterms:modified>
  <dc:title>TMA CAAGIS</dc:title>
  <dc:description/>
  <dc:subject/>
  <cp:keywords/>
  <cp:category/>
</cp:coreProperties>
</file>